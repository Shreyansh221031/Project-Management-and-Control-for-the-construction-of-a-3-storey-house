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30"/>
  <workbookPr/>
  <mc:AlternateContent xmlns:mc="http://schemas.openxmlformats.org/markup-compatibility/2006">
    <mc:Choice Requires="x15">
      <x15ac:absPath xmlns:x15ac="http://schemas.microsoft.com/office/spreadsheetml/2010/11/ac" url="/Users/deepakchaurasia/Downloads/"/>
    </mc:Choice>
  </mc:AlternateContent>
  <xr:revisionPtr revIDLastSave="0" documentId="8_{5A0B3570-BA6C-BD45-9C22-920A504C5D07}" xr6:coauthVersionLast="47" xr6:coauthVersionMax="47" xr10:uidLastSave="{00000000-0000-0000-0000-000000000000}"/>
  <bookViews>
    <workbookView xWindow="0" yWindow="0" windowWidth="33600" windowHeight="21000" activeTab="1" xr2:uid="{00000000-000D-0000-FFFF-FFFF00000000}"/>
  </bookViews>
  <sheets>
    <sheet name="Sheet2" sheetId="2" r:id="rId1"/>
    <sheet name="Name " sheetId="6" r:id="rId2"/>
    <sheet name="Sheet4" sheetId="4" r:id="rId3"/>
    <sheet name="Sheet3" sheetId="3" r:id="rId4"/>
    <sheet name="cash flow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5" l="1"/>
  <c r="H10" i="5"/>
  <c r="H9" i="5"/>
  <c r="H8" i="5"/>
  <c r="H7" i="5"/>
  <c r="H12" i="5"/>
  <c r="E11" i="4"/>
  <c r="E25" i="4"/>
  <c r="E22" i="4"/>
  <c r="E20" i="4"/>
  <c r="E15" i="4"/>
  <c r="E6" i="4"/>
  <c r="E39" i="4"/>
  <c r="F4" i="2" a="1"/>
  <c r="F4" i="2" s="1"/>
  <c r="G4" i="2" s="1"/>
  <c r="D14" i="3"/>
  <c r="F5" i="2" a="1"/>
  <c r="F5" i="2" s="1"/>
  <c r="G5" i="2" s="1"/>
  <c r="F6" i="2" a="1"/>
  <c r="F6" i="2" s="1"/>
  <c r="G6" i="2" s="1"/>
  <c r="F7" i="2" l="1" a="1"/>
  <c r="F7" i="2" s="1"/>
  <c r="G7" i="2" s="1"/>
  <c r="F8" i="2" l="1" a="1"/>
  <c r="F8" i="2" s="1"/>
  <c r="G8" i="2" s="1"/>
  <c r="F9" i="2" l="1" a="1"/>
  <c r="F9" i="2" s="1"/>
  <c r="G9" i="2" s="1"/>
  <c r="F10" i="2" l="1" a="1"/>
  <c r="F10" i="2" s="1"/>
  <c r="G10" i="2" s="1"/>
  <c r="F11" i="2" l="1" a="1"/>
  <c r="F11" i="2" s="1"/>
  <c r="G11" i="2" s="1"/>
  <c r="F12" i="2" l="1" a="1"/>
  <c r="F12" i="2" s="1"/>
  <c r="G12" i="2" s="1"/>
  <c r="G13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<sst xmlns="http://schemas.openxmlformats.org/spreadsheetml/2006/main" count="75" uniqueCount="49">
  <si>
    <t>Activity</t>
  </si>
  <si>
    <t>ES</t>
  </si>
  <si>
    <t>EF</t>
  </si>
  <si>
    <t>Relation type</t>
  </si>
  <si>
    <t>Lag</t>
  </si>
  <si>
    <t>Duration (days)</t>
  </si>
  <si>
    <t>Relationship</t>
  </si>
  <si>
    <t>A – Earthwork</t>
  </si>
  <si>
    <t>B - Steel fabrication</t>
  </si>
  <si>
    <t>C - Shuttering fabrication</t>
  </si>
  <si>
    <t>D - Plain cement concrete (PCC)</t>
  </si>
  <si>
    <t>FS</t>
  </si>
  <si>
    <t>E - Rebar transportation</t>
  </si>
  <si>
    <t>B - Steel fabrication,D - Plain cement concrete (PCC)</t>
  </si>
  <si>
    <t>FS,SF</t>
  </si>
  <si>
    <t>1,1</t>
  </si>
  <si>
    <t>F - Concreting of raft</t>
  </si>
  <si>
    <t>D - Plain cement concrete (PCC),D - Plain cement concrete (PCC),E - Rebar transportation</t>
  </si>
  <si>
    <t>SS,FF,FS</t>
  </si>
  <si>
    <t>7,1,0</t>
  </si>
  <si>
    <t>G - Wall shuttering</t>
  </si>
  <si>
    <t>C - Shuttering fabrication,F - Concreting of raft</t>
  </si>
  <si>
    <t>H - Concreting of wall</t>
  </si>
  <si>
    <t>G - Wall shuttering,F - Concreting of raft,F - Concreting of raft</t>
  </si>
  <si>
    <t>FS,SS,FF</t>
  </si>
  <si>
    <t>0,1,3</t>
  </si>
  <si>
    <t>I - Fencing</t>
  </si>
  <si>
    <t>Billing amount</t>
  </si>
  <si>
    <t>Month</t>
  </si>
  <si>
    <t>description of work done</t>
  </si>
  <si>
    <t>Earthwork</t>
  </si>
  <si>
    <t xml:space="preserve">85.7% of shuttering </t>
  </si>
  <si>
    <t xml:space="preserve"> Steel fabrication</t>
  </si>
  <si>
    <t>80% PCC</t>
  </si>
  <si>
    <t>Rebar</t>
  </si>
  <si>
    <t xml:space="preserve">14.4% shuttering </t>
  </si>
  <si>
    <t>20% PCC</t>
  </si>
  <si>
    <t>concreting of raft</t>
  </si>
  <si>
    <t>wall shuttering</t>
  </si>
  <si>
    <t>25.7% of concreting of wall</t>
  </si>
  <si>
    <t>42.6% of concreting of wall</t>
  </si>
  <si>
    <t>31.7% concreting of wall</t>
  </si>
  <si>
    <t>25.7% fencing</t>
  </si>
  <si>
    <t>74.3% fencing</t>
  </si>
  <si>
    <t>Months</t>
  </si>
  <si>
    <t>Inflow</t>
  </si>
  <si>
    <t xml:space="preserve">Ramji </t>
  </si>
  <si>
    <t>Deepak</t>
  </si>
  <si>
    <t>shreyansh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</si>
</sst>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m/d/yyyy"/>
    <numFmt numFmtId="165" formatCode="_(* #,##0_);_(* \(#,##0\);_(* &quot;-&quot;??_);_(@_)"/>
  </numFmts>
  <fonts count="9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0"/>
      <color rgb="FF000000"/>
      <name val="Aptos Narrow"/>
      <family val="2"/>
    </font>
    <font>
      <sz val="11"/>
      <color rgb="FF000000"/>
      <name val="Aptos Narrow"/>
    </font>
    <font>
      <sz val="11"/>
      <color theme="0"/>
      <name val="Aptos Narrow"/>
      <family val="2"/>
    </font>
    <font>
      <sz val="11"/>
      <color theme="1"/>
      <name val="Aptos Narrow"/>
      <family val="2"/>
      <scheme val="minor"/>
    </font>
    <font>
      <b/>
      <sz val="22"/>
      <color rgb="FFFFFFFF"/>
      <name val="Calibri"/>
      <family val="2"/>
    </font>
    <font>
      <sz val="22"/>
      <color rgb="FF000000"/>
      <name val="Calibri"/>
      <family val="2"/>
    </font>
    <font>
      <b/>
      <sz val="22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4472C4"/>
        <bgColor indexed="64"/>
      </patternFill>
    </fill>
    <fill>
      <patternFill patternType="solid">
        <fgColor rgb="FFCFD5EA"/>
        <bgColor indexed="64"/>
      </patternFill>
    </fill>
    <fill>
      <patternFill patternType="solid">
        <fgColor rgb="FFE9EBF5"/>
        <bgColor indexed="64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14" fontId="0" fillId="0" borderId="0" xfId="0" applyNumberFormat="1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1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 wrapText="1"/>
    </xf>
    <xf numFmtId="2" fontId="1" fillId="0" borderId="0" xfId="0" applyNumberFormat="1" applyFont="1" applyAlignment="1">
      <alignment horizontal="center" wrapText="1"/>
    </xf>
    <xf numFmtId="2" fontId="1" fillId="0" borderId="0" xfId="0" quotePrefix="1" applyNumberFormat="1" applyFont="1" applyAlignment="1">
      <alignment horizontal="center" wrapText="1"/>
    </xf>
    <xf numFmtId="0" fontId="6" fillId="3" borderId="2" xfId="0" applyFont="1" applyFill="1" applyBorder="1" applyAlignment="1">
      <alignment horizontal="center" vertical="center" wrapText="1" readingOrder="1"/>
    </xf>
    <xf numFmtId="0" fontId="7" fillId="4" borderId="3" xfId="0" applyFont="1" applyFill="1" applyBorder="1" applyAlignment="1">
      <alignment horizontal="left" vertical="center" wrapText="1" readingOrder="1"/>
    </xf>
    <xf numFmtId="0" fontId="7" fillId="4" borderId="3" xfId="0" applyFont="1" applyFill="1" applyBorder="1" applyAlignment="1">
      <alignment horizontal="center" vertical="center" wrapText="1" readingOrder="1"/>
    </xf>
    <xf numFmtId="0" fontId="7" fillId="5" borderId="4" xfId="0" applyFont="1" applyFill="1" applyBorder="1" applyAlignment="1">
      <alignment horizontal="left" vertical="center" wrapText="1" readingOrder="1"/>
    </xf>
    <xf numFmtId="0" fontId="7" fillId="4" borderId="4" xfId="0" applyFont="1" applyFill="1" applyBorder="1" applyAlignment="1">
      <alignment horizontal="left" vertical="center" wrapText="1" readingOrder="1"/>
    </xf>
    <xf numFmtId="0" fontId="7" fillId="5" borderId="5" xfId="0" applyFont="1" applyFill="1" applyBorder="1" applyAlignment="1">
      <alignment horizontal="left" vertical="center" wrapText="1" readingOrder="1"/>
    </xf>
    <xf numFmtId="165" fontId="8" fillId="4" borderId="6" xfId="1" applyNumberFormat="1" applyFont="1" applyFill="1" applyBorder="1" applyAlignment="1">
      <alignment horizontal="left" vertical="center" wrapText="1" readingOrder="1"/>
    </xf>
    <xf numFmtId="164" fontId="0" fillId="0" borderId="0" xfId="0" applyNumberFormat="1"/>
    <xf numFmtId="0" fontId="1" fillId="2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6">
    <dxf>
      <numFmt numFmtId="19" formatCode="dd/mm/yy"/>
    </dxf>
    <dxf>
      <numFmt numFmtId="164" formatCode="m/d/yyyy"/>
    </dxf>
    <dxf>
      <numFmt numFmtId="2" formatCode="0.00"/>
    </dxf>
    <dxf>
      <numFmt numFmtId="19" formatCode="dd/mm/yy"/>
    </dxf>
    <dxf>
      <numFmt numFmtId="164" formatCode="m/d/yyyy"/>
    </dxf>
    <dxf>
      <numFmt numFmtId="2" formatCode="0.0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C7E2E5E-2ADB-4467-A423-670C3091011D}" name="Schedule2" displayName="Schedule2" ref="C2:I13" totalsRowCount="1">
  <autoFilter ref="C2:I12" xr:uid="{8C7E2E5E-2ADB-4467-A423-670C3091011D}"/>
  <tableColumns count="7">
    <tableColumn id="1" xr3:uid="{AA1D383D-9462-4B01-A194-0F7FD6B47631}" name="Activity"/>
    <tableColumn id="3" xr3:uid="{A0BCFD6D-D783-4759-8C2F-9C4376AEE43C}" name="Duration (days)"/>
    <tableColumn id="4" xr3:uid="{CCC34B4B-C15C-43F4-B8FD-223EC46AF23F}" name="Relationship" dataDxfId="5" totalsRowDxfId="2"/>
    <tableColumn id="5" xr3:uid="{CE520D01-CF32-4E28-8CA2-04F4A8C701A6}" name="ES" dataDxfId="4" totalsRowDxfId="1">
      <calculatedColumnFormula array="1">IF(Schedule2[[#This Row],[Relationship]]="",
   $L$2,
   MAX(
     _xlfn.LET(
        _xlpm.preds, TRIM(_xlfn.TEXTSPLIT(Schedule2[[#This Row],[Relationship]],",")),
        _xlpm.types, TRIM(_xlfn.TEXTSPLIT(Schedule2[[#This Row],[Relation type]],",")),
        _xlpm.lags,  --_xlfn.TEXTSPLIT(Schedule2[[#This Row],[Lag]],","),
        _xlpm.results,
          IF(_xlpm.types="FS",
             _xlfn.XLOOKUP(_xlpm.preds,Schedule2[Activity],Schedule2[EF]) + _xlpm.lags,
          IF(_xlpm.types="SS",
             _xlfn.XLOOKUP(_xlpm.preds,Schedule2[Activity],Schedule2[ES]) + _xlpm.lags,
          IF(_xlpm.types="FF",
             _xlfn.XLOOKUP(_xlpm.preds,Schedule2[Activity],Schedule2[EF]) + _xlpm.lags - Schedule2[[#This Row],[Duration (days)]],
          IF(_xlpm.types="SF",
             _xlfn.XLOOKUP(_xlpm.preds,Schedule2[Activity],Schedule2[ES]) + _xlpm.lags - Schedule2[[#This Row],[Duration (days)]],
          )))),
        MAX(_xlpm.results)
     )
   )
)</calculatedColumnFormula>
    </tableColumn>
    <tableColumn id="6" xr3:uid="{55C8FBBE-2EBD-4FB2-9AE0-14CD9D67C769}" name="EF" totalsRowFunction="custom" dataDxfId="3" totalsRowDxfId="0">
      <calculatedColumnFormula>Schedule2[[#This Row],[ES]] + Schedule2[[#This Row],[Duration (days)]]</calculatedColumnFormula>
      <totalsRowFormula>MAX(G4:G12)</totalsRowFormula>
    </tableColumn>
    <tableColumn id="7" xr3:uid="{F5A20110-030B-463B-8F10-18AC761136A6}" name="Relation type"/>
    <tableColumn id="8" xr3:uid="{28211B0D-477B-45AB-B94F-6BF90C34E0CB}" name="La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0878B-FFFF-4FCA-BEF7-3611E3C9AFFD}">
  <dimension ref="C2:L13"/>
  <sheetViews>
    <sheetView topLeftCell="B1" zoomScale="138" workbookViewId="0">
      <selection activeCell="L3" sqref="L3"/>
    </sheetView>
  </sheetViews>
  <sheetFormatPr baseColWidth="10" defaultColWidth="8.83203125" defaultRowHeight="15" x14ac:dyDescent="0.2"/>
  <cols>
    <col min="3" max="3" width="18.5" customWidth="1"/>
    <col min="4" max="4" width="22.1640625" customWidth="1"/>
    <col min="5" max="5" width="18.83203125" customWidth="1"/>
    <col min="6" max="6" width="45.1640625" style="4" customWidth="1"/>
    <col min="7" max="7" width="16.6640625" style="4" customWidth="1"/>
    <col min="8" max="8" width="18.33203125" customWidth="1"/>
    <col min="9" max="9" width="16.5" customWidth="1"/>
    <col min="12" max="12" width="9.83203125" style="3" bestFit="1" customWidth="1"/>
  </cols>
  <sheetData>
    <row r="2" spans="3:12" ht="16" x14ac:dyDescent="0.2">
      <c r="C2" s="8" t="s">
        <v>0</v>
      </c>
      <c r="D2" s="8" t="s">
        <v>5</v>
      </c>
      <c r="E2" s="9" t="s">
        <v>6</v>
      </c>
      <c r="F2" s="10" t="s">
        <v>1</v>
      </c>
      <c r="G2" s="10" t="s">
        <v>2</v>
      </c>
      <c r="H2" s="2" t="s">
        <v>3</v>
      </c>
      <c r="I2" s="2" t="s">
        <v>4</v>
      </c>
      <c r="L2" s="4">
        <v>45658</v>
      </c>
    </row>
    <row r="3" spans="3:12" ht="11.25" customHeight="1" x14ac:dyDescent="0.2">
      <c r="C3" s="6"/>
      <c r="D3" s="1"/>
      <c r="E3" s="12"/>
      <c r="F3" s="10"/>
      <c r="G3" s="10"/>
      <c r="H3" s="2"/>
      <c r="I3" s="2"/>
    </row>
    <row r="4" spans="3:12" ht="71.25" customHeight="1" x14ac:dyDescent="0.2">
      <c r="C4" s="5" t="s">
        <v>7</v>
      </c>
      <c r="D4" s="1">
        <v>4</v>
      </c>
      <c r="E4" s="13"/>
      <c r="F4" s="11" cm="1">
        <f t="array" ref="F4">IF(Schedule2[[#This Row],[Relationship]]="",
   $L$2,
   MAX(
     _xlfn.LET(
        _xlpm.preds, TRIM(_xlfn.TEXTSPLIT(Schedule2[[#This Row],[Relationship]],",")),
        _xlpm.types, TRIM(_xlfn.TEXTSPLIT(Schedule2[[#This Row],[Relation type]],",")),
        _xlpm.lags,  --_xlfn.TEXTSPLIT(Schedule2[[#This Row],[Lag]],","),
        _xlpm.results,
          IF(_xlpm.types="FS",
             _xlfn.XLOOKUP(_xlpm.preds,Schedule2[Activity],Schedule2[EF]) + _xlpm.lags,
          IF(_xlpm.types="SS",
             _xlfn.XLOOKUP(_xlpm.preds,Schedule2[Activity],Schedule2[ES]) + _xlpm.lags,
          IF(_xlpm.types="FF",
             _xlfn.XLOOKUP(_xlpm.preds,Schedule2[Activity],Schedule2[EF]) + _xlpm.lags - Schedule2[[#This Row],[Duration (days)]],
          IF(_xlpm.types="SF",
             _xlfn.XLOOKUP(_xlpm.preds,Schedule2[Activity],Schedule2[ES]) + _xlpm.lags - Schedule2[[#This Row],[Duration (days)]],
          )))),
        MAX(_xlpm.results)
     )
   )
)</f>
        <v>45658</v>
      </c>
      <c r="G4" s="11">
        <f>Schedule2[[#This Row],[ES]] + Schedule2[[#This Row],[Duration (days)]]*7</f>
        <v>45686</v>
      </c>
      <c r="H4" s="2"/>
      <c r="I4" s="2"/>
    </row>
    <row r="5" spans="3:12" ht="16" x14ac:dyDescent="0.2">
      <c r="C5" s="5" t="s">
        <v>8</v>
      </c>
      <c r="D5" s="1">
        <v>1</v>
      </c>
      <c r="E5" s="13"/>
      <c r="F5" s="10" cm="1">
        <f t="array" ref="F5">IF(Schedule2[[#This Row],[Relationship]]="",
   $L$2,
   MAX(
     _xlfn.LET(
        _xlpm.preds, TRIM(_xlfn.TEXTSPLIT(Schedule2[[#This Row],[Relationship]],",")),
        _xlpm.types, TRIM(_xlfn.TEXTSPLIT(Schedule2[[#This Row],[Relation type]],",")),
        _xlpm.lags,  --_xlfn.TEXTSPLIT(Schedule2[[#This Row],[Lag]],","),
        _xlpm.results,
          IF(_xlpm.types="FS",
             _xlfn.XLOOKUP(_xlpm.preds,Schedule2[Activity],Schedule2[EF]) + _xlpm.lags,
          IF(_xlpm.types="SS",
             _xlfn.XLOOKUP(_xlpm.preds,Schedule2[Activity],Schedule2[ES]) + _xlpm.lags,
          IF(_xlpm.types="FF",
             _xlfn.XLOOKUP(_xlpm.preds,Schedule2[Activity],Schedule2[EF]) + _xlpm.lags - Schedule2[[#This Row],[Duration (days)]],
          IF(_xlpm.types="SF",
             _xlfn.XLOOKUP(_xlpm.preds,Schedule2[Activity],Schedule2[ES]) + _xlpm.lags - Schedule2[[#This Row],[Duration (days)]],
          )))),
        MAX(_xlpm.results)
     )
   )
)</f>
        <v>45658</v>
      </c>
      <c r="G5" s="11">
        <f>Schedule2[[#This Row],[ES]] + Schedule2[[#This Row],[Duration (days)]]*7</f>
        <v>45665</v>
      </c>
      <c r="H5" s="2"/>
      <c r="I5" s="2"/>
    </row>
    <row r="6" spans="3:12" ht="32" x14ac:dyDescent="0.2">
      <c r="C6" s="5" t="s">
        <v>9</v>
      </c>
      <c r="D6" s="1">
        <v>5</v>
      </c>
      <c r="E6" s="13"/>
      <c r="F6" s="10" cm="1">
        <f t="array" ref="F6">IF(Schedule2[[#This Row],[Relationship]]="",
   $L$2,
   MAX(
     _xlfn.LET(
        _xlpm.preds, TRIM(_xlfn.TEXTSPLIT(Schedule2[[#This Row],[Relationship]],",")),
        _xlpm.types, TRIM(_xlfn.TEXTSPLIT(Schedule2[[#This Row],[Relation type]],",")),
        _xlpm.lags,  --_xlfn.TEXTSPLIT(Schedule2[[#This Row],[Lag]],","),
        _xlpm.results,
          IF(_xlpm.types="FS",
             _xlfn.XLOOKUP(_xlpm.preds,Schedule2[Activity],Schedule2[EF]) + _xlpm.lags,
          IF(_xlpm.types="SS",
             _xlfn.XLOOKUP(_xlpm.preds,Schedule2[Activity],Schedule2[ES]) + _xlpm.lags,
          IF(_xlpm.types="FF",
             _xlfn.XLOOKUP(_xlpm.preds,Schedule2[Activity],Schedule2[EF]) + _xlpm.lags - Schedule2[[#This Row],[Duration (days)]],
          IF(_xlpm.types="SF",
             _xlfn.XLOOKUP(_xlpm.preds,Schedule2[Activity],Schedule2[ES]) + _xlpm.lags - Schedule2[[#This Row],[Duration (days)]],
          )))),
        MAX(_xlpm.results)
     )
   )
)</f>
        <v>45658</v>
      </c>
      <c r="G6" s="11">
        <f>Schedule2[[#This Row],[ES]] + Schedule2[[#This Row],[Duration (days)]]*7</f>
        <v>45693</v>
      </c>
      <c r="H6" s="2"/>
      <c r="I6" s="2"/>
    </row>
    <row r="7" spans="3:12" ht="32" x14ac:dyDescent="0.2">
      <c r="C7" s="5" t="s">
        <v>10</v>
      </c>
      <c r="D7" s="1">
        <v>5</v>
      </c>
      <c r="E7" s="7" t="s">
        <v>7</v>
      </c>
      <c r="F7" s="10" cm="1">
        <f t="array" ref="F7">IF(Schedule2[[#This Row],[Relationship]]="",
   $L$2,
   MAX(
     _xlfn.LET(
        _xlpm.preds, TRIM(_xlfn.TEXTSPLIT(Schedule2[[#This Row],[Relationship]],",")),
        _xlpm.types, TRIM(_xlfn.TEXTSPLIT(Schedule2[[#This Row],[Relation type]],",")),
        _xlpm.lags,  --_xlfn.TEXTSPLIT(Schedule2[[#This Row],[Lag]],","),
        _xlpm.results,
          IF(_xlpm.types="FS",
             _xlfn.XLOOKUP(_xlpm.preds,Schedule2[Activity],Schedule2[EF]) + _xlpm.lags,
          IF(_xlpm.types="SS",
             _xlfn.XLOOKUP(_xlpm.preds,Schedule2[Activity],Schedule2[ES]) + _xlpm.lags,
          IF(_xlpm.types="FF",
             _xlfn.XLOOKUP(_xlpm.preds,Schedule2[Activity],Schedule2[EF]) + _xlpm.lags - Schedule2[[#This Row],[Duration (days)]],
          IF(_xlpm.types="SF",
             _xlfn.XLOOKUP(_xlpm.preds,Schedule2[Activity],Schedule2[ES]) + _xlpm.lags - Schedule2[[#This Row],[Duration (days)]],
          )))),
        MAX(_xlpm.results)
     )
   )
)</f>
        <v>45688</v>
      </c>
      <c r="G7" s="11">
        <f>Schedule2[[#This Row],[ES]] + Schedule2[[#This Row],[Duration (days)]]*7</f>
        <v>45723</v>
      </c>
      <c r="H7" s="2" t="s">
        <v>11</v>
      </c>
      <c r="I7" s="2">
        <v>2</v>
      </c>
    </row>
    <row r="8" spans="3:12" ht="48" x14ac:dyDescent="0.2">
      <c r="C8" s="5" t="s">
        <v>12</v>
      </c>
      <c r="D8" s="1">
        <v>1</v>
      </c>
      <c r="E8" s="12" t="s">
        <v>13</v>
      </c>
      <c r="F8" s="10" cm="1">
        <f t="array" ref="F8">IF(Schedule2[[#This Row],[Relationship]]="",
   $L$2,
   MAX(
     _xlfn.LET(
        _xlpm.preds, TRIM(_xlfn.TEXTSPLIT(Schedule2[[#This Row],[Relationship]],",")),
        _xlpm.types, TRIM(_xlfn.TEXTSPLIT(Schedule2[[#This Row],[Relation type]],",")),
        _xlpm.lags,  --_xlfn.TEXTSPLIT(Schedule2[[#This Row],[Lag]],","),
        _xlpm.results,
          IF(_xlpm.types="FS",
             _xlfn.XLOOKUP(_xlpm.preds,Schedule2[Activity],Schedule2[EF]) + _xlpm.lags,
          IF(_xlpm.types="SS",
             _xlfn.XLOOKUP(_xlpm.preds,Schedule2[Activity],Schedule2[ES]) + _xlpm.lags,
          IF(_xlpm.types="FF",
             _xlfn.XLOOKUP(_xlpm.preds,Schedule2[Activity],Schedule2[EF]) + _xlpm.lags - Schedule2[[#This Row],[Duration (days)]],
          IF(_xlpm.types="SF",
             _xlfn.XLOOKUP(_xlpm.preds,Schedule2[Activity],Schedule2[ES]) + _xlpm.lags - Schedule2[[#This Row],[Duration (days)]],
          )))),
        MAX(_xlpm.results)
     )
   )
)</f>
        <v>45688</v>
      </c>
      <c r="G8" s="11">
        <f>Schedule2[[#This Row],[ES]] + Schedule2[[#This Row],[Duration (days)]]*7</f>
        <v>45695</v>
      </c>
      <c r="H8" s="2" t="s">
        <v>14</v>
      </c>
      <c r="I8" s="2" t="s">
        <v>15</v>
      </c>
    </row>
    <row r="9" spans="3:12" ht="80" x14ac:dyDescent="0.2">
      <c r="C9" s="5" t="s">
        <v>16</v>
      </c>
      <c r="D9" s="1">
        <v>2</v>
      </c>
      <c r="E9" s="12" t="s">
        <v>17</v>
      </c>
      <c r="F9" s="10" cm="1">
        <f t="array" ref="F9">IF(Schedule2[[#This Row],[Relationship]]="",
   $L$2,
   MAX(
     _xlfn.LET(
        _xlpm.preds, TRIM(_xlfn.TEXTSPLIT(Schedule2[[#This Row],[Relationship]],",")),
        _xlpm.types, TRIM(_xlfn.TEXTSPLIT(Schedule2[[#This Row],[Relation type]],",")),
        _xlpm.lags,  --_xlfn.TEXTSPLIT(Schedule2[[#This Row],[Lag]],","),
        _xlpm.results,
          IF(_xlpm.types="FS",
             _xlfn.XLOOKUP(_xlpm.preds,Schedule2[Activity],Schedule2[EF]) + _xlpm.lags,
          IF(_xlpm.types="SS",
             _xlfn.XLOOKUP(_xlpm.preds,Schedule2[Activity],Schedule2[ES]) + _xlpm.lags,
          IF(_xlpm.types="FF",
             _xlfn.XLOOKUP(_xlpm.preds,Schedule2[Activity],Schedule2[EF]) + _xlpm.lags - Schedule2[[#This Row],[Duration (days)]],
          IF(_xlpm.types="SF",
             _xlfn.XLOOKUP(_xlpm.preds,Schedule2[Activity],Schedule2[ES]) + _xlpm.lags - Schedule2[[#This Row],[Duration (days)]],
          )))),
        MAX(_xlpm.results)
     )
   )
)</f>
        <v>45722</v>
      </c>
      <c r="G9" s="11">
        <f>Schedule2[[#This Row],[ES]] + Schedule2[[#This Row],[Duration (days)]]*7</f>
        <v>45736</v>
      </c>
      <c r="H9" s="2" t="s">
        <v>18</v>
      </c>
      <c r="I9" s="2" t="s">
        <v>19</v>
      </c>
    </row>
    <row r="10" spans="3:12" ht="48" x14ac:dyDescent="0.2">
      <c r="C10" s="5" t="s">
        <v>20</v>
      </c>
      <c r="D10" s="1">
        <v>1</v>
      </c>
      <c r="E10" s="12" t="s">
        <v>21</v>
      </c>
      <c r="F10" s="10" cm="1">
        <f t="array" ref="F10">IF(Schedule2[[#This Row],[Relationship]]="",
   $L$2,
   MAX(
     _xlfn.LET(
        _xlpm.preds, TRIM(_xlfn.TEXTSPLIT(Schedule2[[#This Row],[Relationship]],",")),
        _xlpm.types, TRIM(_xlfn.TEXTSPLIT(Schedule2[[#This Row],[Relation type]],",")),
        _xlpm.lags,  --_xlfn.TEXTSPLIT(Schedule2[[#This Row],[Lag]],","),
        _xlpm.results,
          IF(_xlpm.types="FS",
             _xlfn.XLOOKUP(_xlpm.preds,Schedule2[Activity],Schedule2[EF]) + _xlpm.lags,
          IF(_xlpm.types="SS",
             _xlfn.XLOOKUP(_xlpm.preds,Schedule2[Activity],Schedule2[ES]) + _xlpm.lags,
          IF(_xlpm.types="FF",
             _xlfn.XLOOKUP(_xlpm.preds,Schedule2[Activity],Schedule2[EF]) + _xlpm.lags - Schedule2[[#This Row],[Duration (days)]],
          IF(_xlpm.types="SF",
             _xlfn.XLOOKUP(_xlpm.preds,Schedule2[Activity],Schedule2[ES]) + _xlpm.lags - Schedule2[[#This Row],[Duration (days)]],
          )))),
        MAX(_xlpm.results)
     )
   )
)</f>
        <v>45722</v>
      </c>
      <c r="G10" s="11">
        <f>Schedule2[[#This Row],[ES]] + Schedule2[[#This Row],[Duration (days)]]*7</f>
        <v>45729</v>
      </c>
      <c r="H10" s="2" t="s">
        <v>14</v>
      </c>
      <c r="I10" s="2" t="s">
        <v>15</v>
      </c>
    </row>
    <row r="11" spans="3:12" ht="48" x14ac:dyDescent="0.2">
      <c r="C11" s="5" t="s">
        <v>22</v>
      </c>
      <c r="D11" s="1">
        <v>10</v>
      </c>
      <c r="E11" s="12" t="s">
        <v>23</v>
      </c>
      <c r="F11" s="10" cm="1">
        <f t="array" ref="F11">IF(Schedule2[[#This Row],[Relationship]]="",
   $L$2,
   MAX(
     _xlfn.LET(
        _xlpm.preds, TRIM(_xlfn.TEXTSPLIT(Schedule2[[#This Row],[Relationship]],",")),
        _xlpm.types, TRIM(_xlfn.TEXTSPLIT(Schedule2[[#This Row],[Relation type]],",")),
        _xlpm.lags,  --_xlfn.TEXTSPLIT(Schedule2[[#This Row],[Lag]],","),
        _xlpm.results,
          IF(_xlpm.types="FS",
             _xlfn.XLOOKUP(_xlpm.preds,Schedule2[Activity],Schedule2[EF]) + _xlpm.lags,
          IF(_xlpm.types="SS",
             _xlfn.XLOOKUP(_xlpm.preds,Schedule2[Activity],Schedule2[ES]) + _xlpm.lags,
          IF(_xlpm.types="FF",
             _xlfn.XLOOKUP(_xlpm.preds,Schedule2[Activity],Schedule2[EF]) + _xlpm.lags - Schedule2[[#This Row],[Duration (days)]],
          IF(_xlpm.types="SF",
             _xlfn.XLOOKUP(_xlpm.preds,Schedule2[Activity],Schedule2[ES]) + _xlpm.lags - Schedule2[[#This Row],[Duration (days)]],
          )))),
        MAX(_xlpm.results)
     )
   )
)</f>
        <v>45729</v>
      </c>
      <c r="G11" s="11">
        <f>Schedule2[[#This Row],[ES]] + Schedule2[[#This Row],[Duration (days)]]*7</f>
        <v>45799</v>
      </c>
      <c r="H11" s="2" t="s">
        <v>24</v>
      </c>
      <c r="I11" s="2" t="s">
        <v>25</v>
      </c>
    </row>
    <row r="12" spans="3:12" ht="16" x14ac:dyDescent="0.2">
      <c r="C12" s="2" t="s">
        <v>26</v>
      </c>
      <c r="D12" s="2">
        <v>5</v>
      </c>
      <c r="E12" s="5" t="s">
        <v>22</v>
      </c>
      <c r="F12" s="10" cm="1">
        <f t="array" ref="F12">IF(Schedule2[[#This Row],[Relationship]]="",
   $L$2,
   MAX(
     _xlfn.LET(
        _xlpm.preds, TRIM(_xlfn.TEXTSPLIT(Schedule2[[#This Row],[Relationship]],",")),
        _xlpm.types, TRIM(_xlfn.TEXTSPLIT(Schedule2[[#This Row],[Relation type]],",")),
        _xlpm.lags,  --_xlfn.TEXTSPLIT(Schedule2[[#This Row],[Lag]],","),
        _xlpm.results,
          IF(_xlpm.types="FS",
             _xlfn.XLOOKUP(_xlpm.preds,Schedule2[Activity],Schedule2[EF]) + _xlpm.lags,
          IF(_xlpm.types="SS",
             _xlfn.XLOOKUP(_xlpm.preds,Schedule2[Activity],Schedule2[ES]) + _xlpm.lags,
          IF(_xlpm.types="FF",
             _xlfn.XLOOKUP(_xlpm.preds,Schedule2[Activity],Schedule2[EF]) + _xlpm.lags - Schedule2[[#This Row],[Duration (days)]],
          IF(_xlpm.types="SF",
             _xlfn.XLOOKUP(_xlpm.preds,Schedule2[Activity],Schedule2[ES]) + _xlpm.lags - Schedule2[[#This Row],[Duration (days)]],
          )))),
        MAX(_xlpm.results)
     )
   )
)</f>
        <v>45799</v>
      </c>
      <c r="G12" s="11">
        <f>Schedule2[[#This Row],[ES]] + Schedule2[[#This Row],[Duration (days)]]*7</f>
        <v>45834</v>
      </c>
      <c r="H12" s="2" t="s">
        <v>11</v>
      </c>
      <c r="I12" s="2">
        <v>0</v>
      </c>
    </row>
    <row r="13" spans="3:12" x14ac:dyDescent="0.2">
      <c r="E13" s="3"/>
      <c r="F13" s="21"/>
      <c r="G13" s="4">
        <f>MAX(G4:G12)</f>
        <v>45834</v>
      </c>
    </row>
  </sheetData>
  <pageMargins left="0.7" right="0.7" top="0.75" bottom="0.75" header="0.3" footer="0.3"/>
  <ignoredErrors>
    <ignoredError sqref="F9" evalError="1"/>
  </ignoredError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59A4E-7DF4-BC44-AF10-37AE8E6AC952}">
  <dimension ref="E12:F14"/>
  <sheetViews>
    <sheetView tabSelected="1" workbookViewId="0">
      <selection activeCell="F15" sqref="F15"/>
    </sheetView>
  </sheetViews>
  <sheetFormatPr baseColWidth="10" defaultRowHeight="15" x14ac:dyDescent="0.2"/>
  <sheetData>
    <row r="12" spans="5:6" x14ac:dyDescent="0.2">
      <c r="E12" t="s">
        <v>46</v>
      </c>
      <c r="F12">
        <v>220869</v>
      </c>
    </row>
    <row r="13" spans="5:6" x14ac:dyDescent="0.2">
      <c r="E13" t="s">
        <v>47</v>
      </c>
      <c r="F13">
        <v>220330</v>
      </c>
    </row>
    <row r="14" spans="5:6" x14ac:dyDescent="0.2">
      <c r="E14" t="s">
        <v>48</v>
      </c>
      <c r="F14">
        <v>221031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FE8A3-98E1-604B-ACAB-674114654135}">
  <dimension ref="C6:E39"/>
  <sheetViews>
    <sheetView zoomScale="114" workbookViewId="0">
      <selection activeCell="G28" sqref="G28"/>
    </sheetView>
  </sheetViews>
  <sheetFormatPr baseColWidth="10" defaultRowHeight="15" x14ac:dyDescent="0.2"/>
  <cols>
    <col min="3" max="3" width="13.5" customWidth="1"/>
    <col min="4" max="4" width="24.33203125" customWidth="1"/>
    <col min="5" max="5" width="23.33203125" customWidth="1"/>
  </cols>
  <sheetData>
    <row r="6" spans="3:5" x14ac:dyDescent="0.2">
      <c r="C6" t="s">
        <v>28</v>
      </c>
      <c r="D6" s="2" t="s">
        <v>29</v>
      </c>
      <c r="E6" s="23">
        <f>E30+E31+0.857*E32</f>
        <v>15571000</v>
      </c>
    </row>
    <row r="7" spans="3:5" x14ac:dyDescent="0.2">
      <c r="C7">
        <v>1</v>
      </c>
      <c r="D7" s="2" t="s">
        <v>30</v>
      </c>
      <c r="E7" s="23"/>
    </row>
    <row r="8" spans="3:5" ht="16" x14ac:dyDescent="0.2">
      <c r="D8" s="22" t="s">
        <v>32</v>
      </c>
      <c r="E8" s="23"/>
    </row>
    <row r="9" spans="3:5" x14ac:dyDescent="0.2">
      <c r="D9" s="2" t="s">
        <v>31</v>
      </c>
      <c r="E9" s="23"/>
    </row>
    <row r="10" spans="3:5" x14ac:dyDescent="0.2">
      <c r="D10" s="2"/>
      <c r="E10" s="2"/>
    </row>
    <row r="11" spans="3:5" x14ac:dyDescent="0.2">
      <c r="C11">
        <v>2</v>
      </c>
      <c r="D11" s="2" t="s">
        <v>33</v>
      </c>
      <c r="E11" s="23">
        <f>0.8*E33+E34+0.143*E32</f>
        <v>3029000</v>
      </c>
    </row>
    <row r="12" spans="3:5" x14ac:dyDescent="0.2">
      <c r="D12" s="2" t="s">
        <v>34</v>
      </c>
      <c r="E12" s="23"/>
    </row>
    <row r="13" spans="3:5" x14ac:dyDescent="0.2">
      <c r="D13" s="2" t="s">
        <v>35</v>
      </c>
      <c r="E13" s="23"/>
    </row>
    <row r="14" spans="3:5" x14ac:dyDescent="0.2">
      <c r="D14" s="2"/>
      <c r="E14" s="2"/>
    </row>
    <row r="15" spans="3:5" x14ac:dyDescent="0.2">
      <c r="C15">
        <v>3</v>
      </c>
      <c r="D15" s="2" t="s">
        <v>36</v>
      </c>
      <c r="E15" s="23">
        <f>0.2*E33+E35+E36+0.257*E37</f>
        <v>13171000</v>
      </c>
    </row>
    <row r="16" spans="3:5" x14ac:dyDescent="0.2">
      <c r="D16" s="2" t="s">
        <v>37</v>
      </c>
      <c r="E16" s="23"/>
    </row>
    <row r="17" spans="3:5" x14ac:dyDescent="0.2">
      <c r="D17" s="2" t="s">
        <v>38</v>
      </c>
      <c r="E17" s="23"/>
    </row>
    <row r="18" spans="3:5" x14ac:dyDescent="0.2">
      <c r="D18" s="2" t="s">
        <v>39</v>
      </c>
      <c r="E18" s="23"/>
    </row>
    <row r="19" spans="3:5" x14ac:dyDescent="0.2">
      <c r="D19" s="2"/>
      <c r="E19" s="2"/>
    </row>
    <row r="20" spans="3:5" x14ac:dyDescent="0.2">
      <c r="C20">
        <v>4</v>
      </c>
      <c r="D20" s="2" t="s">
        <v>40</v>
      </c>
      <c r="E20" s="2">
        <f>0.426*E37</f>
        <v>1278000</v>
      </c>
    </row>
    <row r="21" spans="3:5" x14ac:dyDescent="0.2">
      <c r="D21" s="2"/>
      <c r="E21" s="2"/>
    </row>
    <row r="22" spans="3:5" x14ac:dyDescent="0.2">
      <c r="C22">
        <v>5</v>
      </c>
      <c r="D22" s="2" t="s">
        <v>41</v>
      </c>
      <c r="E22" s="23">
        <f>0.317*E37 +0.257*E38</f>
        <v>1208000</v>
      </c>
    </row>
    <row r="23" spans="3:5" x14ac:dyDescent="0.2">
      <c r="D23" s="2" t="s">
        <v>42</v>
      </c>
      <c r="E23" s="23"/>
    </row>
    <row r="24" spans="3:5" x14ac:dyDescent="0.2">
      <c r="D24" s="2"/>
      <c r="E24" s="2"/>
    </row>
    <row r="25" spans="3:5" x14ac:dyDescent="0.2">
      <c r="C25">
        <v>6</v>
      </c>
      <c r="D25" s="2" t="s">
        <v>43</v>
      </c>
      <c r="E25" s="2">
        <f>0.743*E38</f>
        <v>743000</v>
      </c>
    </row>
    <row r="26" spans="3:5" x14ac:dyDescent="0.2">
      <c r="D26" s="2"/>
      <c r="E26" s="2"/>
    </row>
    <row r="28" spans="3:5" ht="16" thickBot="1" x14ac:dyDescent="0.25"/>
    <row r="29" spans="3:5" ht="91" thickBot="1" x14ac:dyDescent="0.25">
      <c r="D29" s="14" t="s">
        <v>0</v>
      </c>
      <c r="E29" s="14" t="s">
        <v>27</v>
      </c>
    </row>
    <row r="30" spans="3:5" ht="32" thickTop="1" thickBot="1" x14ac:dyDescent="0.25">
      <c r="D30" s="15" t="s">
        <v>7</v>
      </c>
      <c r="E30" s="16">
        <v>3000000</v>
      </c>
    </row>
    <row r="31" spans="3:5" ht="62" thickTop="1" thickBot="1" x14ac:dyDescent="0.25">
      <c r="D31" s="17" t="s">
        <v>8</v>
      </c>
      <c r="E31" s="16">
        <v>10000000</v>
      </c>
    </row>
    <row r="32" spans="3:5" ht="62" thickTop="1" thickBot="1" x14ac:dyDescent="0.25">
      <c r="D32" s="18" t="s">
        <v>9</v>
      </c>
      <c r="E32" s="16">
        <v>3000000</v>
      </c>
    </row>
    <row r="33" spans="4:5" ht="92" thickTop="1" thickBot="1" x14ac:dyDescent="0.25">
      <c r="D33" s="17" t="s">
        <v>10</v>
      </c>
      <c r="E33" s="16">
        <v>2000000</v>
      </c>
    </row>
    <row r="34" spans="4:5" ht="62" thickTop="1" thickBot="1" x14ac:dyDescent="0.25">
      <c r="D34" s="18" t="s">
        <v>12</v>
      </c>
      <c r="E34" s="16">
        <v>1000000</v>
      </c>
    </row>
    <row r="35" spans="4:5" ht="62" thickTop="1" thickBot="1" x14ac:dyDescent="0.25">
      <c r="D35" s="19" t="s">
        <v>16</v>
      </c>
      <c r="E35" s="16">
        <v>10000000</v>
      </c>
    </row>
    <row r="36" spans="4:5" ht="62" thickTop="1" thickBot="1" x14ac:dyDescent="0.25">
      <c r="D36" s="18" t="s">
        <v>20</v>
      </c>
      <c r="E36" s="16">
        <v>2000000</v>
      </c>
    </row>
    <row r="37" spans="4:5" ht="62" thickTop="1" thickBot="1" x14ac:dyDescent="0.25">
      <c r="D37" s="19" t="s">
        <v>22</v>
      </c>
      <c r="E37" s="16">
        <v>3000000</v>
      </c>
    </row>
    <row r="38" spans="4:5" ht="32" thickTop="1" thickBot="1" x14ac:dyDescent="0.25">
      <c r="D38" s="18" t="s">
        <v>26</v>
      </c>
      <c r="E38" s="16">
        <v>1000000</v>
      </c>
    </row>
    <row r="39" spans="4:5" ht="29" x14ac:dyDescent="0.2">
      <c r="E39" s="20">
        <f>+SUM(E30:E38)</f>
        <v>35000000</v>
      </c>
    </row>
  </sheetData>
  <mergeCells count="4">
    <mergeCell ref="E6:E9"/>
    <mergeCell ref="E11:E13"/>
    <mergeCell ref="E15:E18"/>
    <mergeCell ref="E22:E2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B1D21-EF6C-7641-A021-E3F3F8DB132C}">
  <dimension ref="C3:D14"/>
  <sheetViews>
    <sheetView workbookViewId="0">
      <selection activeCell="C4" sqref="C4:D14"/>
    </sheetView>
  </sheetViews>
  <sheetFormatPr baseColWidth="10" defaultRowHeight="15" x14ac:dyDescent="0.2"/>
  <cols>
    <col min="3" max="3" width="31" customWidth="1"/>
    <col min="4" max="4" width="51.83203125" customWidth="1"/>
  </cols>
  <sheetData>
    <row r="3" spans="3:4" ht="16" thickBot="1" x14ac:dyDescent="0.25"/>
    <row r="4" spans="3:4" ht="38" customHeight="1" thickBot="1" x14ac:dyDescent="0.25">
      <c r="C4" s="14" t="s">
        <v>0</v>
      </c>
      <c r="D4" s="14" t="s">
        <v>27</v>
      </c>
    </row>
    <row r="5" spans="3:4" ht="37" customHeight="1" thickTop="1" thickBot="1" x14ac:dyDescent="0.25">
      <c r="C5" s="15" t="s">
        <v>7</v>
      </c>
      <c r="D5" s="16">
        <v>3000000</v>
      </c>
    </row>
    <row r="6" spans="3:4" ht="33" customHeight="1" thickTop="1" thickBot="1" x14ac:dyDescent="0.25">
      <c r="C6" s="17" t="s">
        <v>8</v>
      </c>
      <c r="D6" s="16">
        <v>10000000</v>
      </c>
    </row>
    <row r="7" spans="3:4" ht="53" customHeight="1" thickTop="1" thickBot="1" x14ac:dyDescent="0.25">
      <c r="C7" s="18" t="s">
        <v>9</v>
      </c>
      <c r="D7" s="16">
        <v>3000000</v>
      </c>
    </row>
    <row r="8" spans="3:4" ht="71" customHeight="1" thickTop="1" thickBot="1" x14ac:dyDescent="0.25">
      <c r="C8" s="17" t="s">
        <v>10</v>
      </c>
      <c r="D8" s="16">
        <v>2000000</v>
      </c>
    </row>
    <row r="9" spans="3:4" ht="61" customHeight="1" thickTop="1" thickBot="1" x14ac:dyDescent="0.25">
      <c r="C9" s="18" t="s">
        <v>12</v>
      </c>
      <c r="D9" s="16">
        <v>1000000</v>
      </c>
    </row>
    <row r="10" spans="3:4" ht="55" customHeight="1" thickTop="1" thickBot="1" x14ac:dyDescent="0.25">
      <c r="C10" s="19" t="s">
        <v>16</v>
      </c>
      <c r="D10" s="16">
        <v>10000000</v>
      </c>
    </row>
    <row r="11" spans="3:4" ht="41" customHeight="1" thickTop="1" thickBot="1" x14ac:dyDescent="0.25">
      <c r="C11" s="18" t="s">
        <v>20</v>
      </c>
      <c r="D11" s="16">
        <v>2000000</v>
      </c>
    </row>
    <row r="12" spans="3:4" ht="50" customHeight="1" thickTop="1" thickBot="1" x14ac:dyDescent="0.25">
      <c r="C12" s="19" t="s">
        <v>22</v>
      </c>
      <c r="D12" s="16">
        <v>3000000</v>
      </c>
    </row>
    <row r="13" spans="3:4" ht="52" customHeight="1" thickTop="1" thickBot="1" x14ac:dyDescent="0.25">
      <c r="C13" s="18" t="s">
        <v>26</v>
      </c>
      <c r="D13" s="16">
        <v>1000000</v>
      </c>
    </row>
    <row r="14" spans="3:4" ht="29" x14ac:dyDescent="0.2">
      <c r="D14" s="20">
        <f>+SUM(D5:D13)</f>
        <v>35000000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43E07-9B23-4841-9498-B7FB6DA35004}">
  <dimension ref="F5:H12"/>
  <sheetViews>
    <sheetView workbookViewId="0">
      <selection activeCell="H12" sqref="H12"/>
    </sheetView>
  </sheetViews>
  <sheetFormatPr baseColWidth="10" defaultRowHeight="15" x14ac:dyDescent="0.2"/>
  <sheetData>
    <row r="5" spans="6:8" x14ac:dyDescent="0.2">
      <c r="F5" t="s">
        <v>44</v>
      </c>
      <c r="H5" t="s">
        <v>45</v>
      </c>
    </row>
    <row r="6" spans="6:8" x14ac:dyDescent="0.2">
      <c r="F6">
        <v>1</v>
      </c>
      <c r="H6">
        <v>4200000</v>
      </c>
    </row>
    <row r="7" spans="6:8" x14ac:dyDescent="0.2">
      <c r="F7">
        <v>3</v>
      </c>
      <c r="H7">
        <f>Sheet4!E6-840000</f>
        <v>14731000</v>
      </c>
    </row>
    <row r="8" spans="6:8" x14ac:dyDescent="0.2">
      <c r="F8">
        <v>4</v>
      </c>
      <c r="H8">
        <f>Sheet4!E11-840000</f>
        <v>2189000</v>
      </c>
    </row>
    <row r="9" spans="6:8" x14ac:dyDescent="0.2">
      <c r="F9">
        <v>5</v>
      </c>
      <c r="H9">
        <f>Sheet4!E15-840000</f>
        <v>12331000</v>
      </c>
    </row>
    <row r="10" spans="6:8" x14ac:dyDescent="0.2">
      <c r="F10">
        <v>6</v>
      </c>
      <c r="H10">
        <f>Sheet4!E20-840000</f>
        <v>438000</v>
      </c>
    </row>
    <row r="11" spans="6:8" x14ac:dyDescent="0.2">
      <c r="F11">
        <v>7</v>
      </c>
      <c r="H11">
        <f>Sheet4!E22-840000</f>
        <v>368000</v>
      </c>
    </row>
    <row r="12" spans="6:8" x14ac:dyDescent="0.2">
      <c r="F12">
        <v>8</v>
      </c>
      <c r="H12">
        <f>Sheet4!E25</f>
        <v>743000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Sheet2</vt:lpstr>
      <vt:lpstr>Name </vt:lpstr>
      <vt:lpstr>Sheet4</vt:lpstr>
      <vt:lpstr>Sheet3</vt:lpstr>
      <vt:lpstr>cash flow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Deepak Chaurasia Chaurasia</cp:lastModifiedBy>
  <cp:revision/>
  <dcterms:created xsi:type="dcterms:W3CDTF">2025-09-02T05:00:21Z</dcterms:created>
  <dcterms:modified xsi:type="dcterms:W3CDTF">2025-09-04T06:30:41Z</dcterms:modified>
  <cp:category/>
  <cp:contentStatus/>
</cp:coreProperties>
</file>