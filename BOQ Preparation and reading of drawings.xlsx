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eepakchaurasia/Downloads/"/>
    </mc:Choice>
  </mc:AlternateContent>
  <xr:revisionPtr revIDLastSave="0" documentId="8_{427C3C83-7278-9544-9F23-EE57D3669067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Group Member " sheetId="11" r:id="rId1"/>
    <sheet name="Dimensions" sheetId="1" r:id="rId2"/>
    <sheet name="Excavation" sheetId="2" r:id="rId3"/>
    <sheet name="PCC" sheetId="3" r:id="rId4"/>
    <sheet name="RCC_Footings" sheetId="4" r:id="rId5"/>
    <sheet name="Formworks" sheetId="5" r:id="rId6"/>
    <sheet name="Backfill" sheetId="7" r:id="rId7"/>
  </sheets>
  <definedNames>
    <definedName name="Total_Area_for_formwork">RCC_Footings!$J$50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7" l="1"/>
  <c r="J5" i="7"/>
  <c r="K18" i="5"/>
  <c r="K14" i="5"/>
  <c r="K13" i="5"/>
  <c r="K12" i="5"/>
  <c r="J13" i="5"/>
  <c r="J12" i="5"/>
  <c r="I12" i="5"/>
  <c r="I13" i="5"/>
  <c r="K9" i="4"/>
  <c r="H7" i="5"/>
  <c r="L21" i="4"/>
  <c r="L20" i="4"/>
  <c r="L18" i="4"/>
  <c r="H6" i="5"/>
  <c r="J50" i="4"/>
  <c r="K29" i="4"/>
  <c r="K30" i="4"/>
  <c r="K31" i="4"/>
  <c r="K32" i="4"/>
  <c r="K33" i="4"/>
  <c r="K34" i="4"/>
  <c r="K35" i="4"/>
  <c r="K49" i="4" s="1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28" i="4"/>
  <c r="J49" i="4"/>
  <c r="I48" i="4"/>
  <c r="J48" i="4" s="1"/>
  <c r="I47" i="4"/>
  <c r="J47" i="4" s="1"/>
  <c r="I46" i="4"/>
  <c r="J46" i="4" s="1"/>
  <c r="I45" i="4"/>
  <c r="J45" i="4" s="1"/>
  <c r="I44" i="4"/>
  <c r="J44" i="4" s="1"/>
  <c r="I43" i="4"/>
  <c r="J43" i="4" s="1"/>
  <c r="I42" i="4"/>
  <c r="J42" i="4" s="1"/>
  <c r="J41" i="4"/>
  <c r="I41" i="4"/>
  <c r="I40" i="4"/>
  <c r="J40" i="4" s="1"/>
  <c r="I39" i="4"/>
  <c r="J39" i="4" s="1"/>
  <c r="I38" i="4"/>
  <c r="J38" i="4"/>
  <c r="I37" i="4"/>
  <c r="J37" i="4" s="1"/>
  <c r="J34" i="4" l="1"/>
  <c r="J35" i="4"/>
  <c r="J36" i="4"/>
  <c r="I34" i="4"/>
  <c r="I35" i="4"/>
  <c r="I36" i="4"/>
  <c r="I33" i="4"/>
  <c r="J33" i="4" s="1"/>
  <c r="J29" i="4"/>
  <c r="J30" i="4"/>
  <c r="J31" i="4"/>
  <c r="J28" i="4"/>
  <c r="I29" i="4"/>
  <c r="I30" i="4"/>
  <c r="I31" i="4"/>
  <c r="I32" i="4"/>
  <c r="J32" i="4" s="1"/>
  <c r="I28" i="4"/>
  <c r="K21" i="4"/>
</calcChain>
</file>

<file path=xl/sharedStrings.xml><?xml version="1.0" encoding="utf-8"?>
<sst xmlns="http://schemas.openxmlformats.org/spreadsheetml/2006/main" count="135" uniqueCount="112">
  <si>
    <t>Assumption</t>
  </si>
  <si>
    <t>Value</t>
  </si>
  <si>
    <t>Building overall length (L) from drawings</t>
  </si>
  <si>
    <t>17.375 m (17375 mm)</t>
  </si>
  <si>
    <t>Building overall width (W) from drawings</t>
  </si>
  <si>
    <t>6.095 m (6095 mm)</t>
  </si>
  <si>
    <t>Number of column positions (total)</t>
  </si>
  <si>
    <t>20 (C1=14, C2=6) -- assumed from layout</t>
  </si>
  <si>
    <t>C1 footing size (LxB)</t>
  </si>
  <si>
    <t>1.08 x 0.90 m (1080 x 900 mm)</t>
  </si>
  <si>
    <t>C2 footing size (LxB)</t>
  </si>
  <si>
    <t>0.75 x 0.90 m (750 x 900 mm)</t>
  </si>
  <si>
    <t>Footing excavation depth</t>
  </si>
  <si>
    <t>1.05 m (1050 mm) -- taken from footng detail</t>
  </si>
  <si>
    <t>Excavation working space allowance</t>
  </si>
  <si>
    <t>0.15 m on each side (total +0.30 m to L and B) as per IS convention (assumed)</t>
  </si>
  <si>
    <t>PCC thickness under footings</t>
  </si>
  <si>
    <t>0.10 m (100 mm) as shown in drawings</t>
  </si>
  <si>
    <t>RCC footing thickness (avg.)</t>
  </si>
  <si>
    <t>0.40 m (400 mm) -- assumed typical value</t>
  </si>
  <si>
    <t>Column cross-section (superstructure)</t>
  </si>
  <si>
    <t>0.23 x 0.23 m (230 x 230 mm) - assumed</t>
  </si>
  <si>
    <t>Number of storeys considered (GF+FF+SF)</t>
  </si>
  <si>
    <t>3 storeys; floor-to-floor height 3.36 m each</t>
  </si>
  <si>
    <t>Wall thickness (outer brick)</t>
  </si>
  <si>
    <t>0.23 m (230 mm) - from drawings</t>
  </si>
  <si>
    <t>Plaster thickness (single coat)</t>
  </si>
  <si>
    <t>0.012 m (12 mm) both sides (external &amp; internal) - assumed</t>
  </si>
  <si>
    <t>Openings (doors &amp; windows) as fraction of wall area</t>
  </si>
  <si>
    <t>20% openings assumed</t>
  </si>
  <si>
    <t>Floor slab thickness</t>
  </si>
  <si>
    <t>0.16 m (160 mm) as per drawings</t>
  </si>
  <si>
    <t>Doors &amp; windows counts</t>
  </si>
  <si>
    <t>Taken from door-window schedule snippets; if incorrect, replace counts in the sheet</t>
  </si>
  <si>
    <t>Count</t>
  </si>
  <si>
    <t>Depth (m)</t>
  </si>
  <si>
    <t>Total Area (m2)</t>
  </si>
  <si>
    <t>Footing Type</t>
  </si>
  <si>
    <t>Plan size (m)</t>
  </si>
  <si>
    <t>Working space each side (m)</t>
  </si>
  <si>
    <t>Excavation area (m²)</t>
  </si>
  <si>
    <t>Volume per footing (m³)</t>
  </si>
  <si>
    <t>Total Volume (m³)</t>
  </si>
  <si>
    <t>C1</t>
  </si>
  <si>
    <t>C2</t>
  </si>
  <si>
    <t>TOTAL</t>
  </si>
  <si>
    <t>Exaction Calculation</t>
  </si>
  <si>
    <t>PCC Plan Size (m)</t>
  </si>
  <si>
    <t>PCC Area (m²)</t>
  </si>
  <si>
    <t>PCC Thickness (m)</t>
  </si>
  <si>
    <t>PCC Volume per footing (m³)</t>
  </si>
  <si>
    <t>Total PCC Volume (m³)</t>
  </si>
  <si>
    <t>PPC Calculation</t>
  </si>
  <si>
    <t>Working space: 0.60 m</t>
  </si>
  <si>
    <t>IS CODE 1200 1PART</t>
  </si>
  <si>
    <t>Excavation plan size(Effective size after adding 0.6)( (m)</t>
  </si>
  <si>
    <t>2.1=(0.9 +2*0.6)</t>
  </si>
  <si>
    <t>2.28=(1.08 + 2*0.6)</t>
  </si>
  <si>
    <t>Column1</t>
  </si>
  <si>
    <t>Column2</t>
  </si>
  <si>
    <t>Column3</t>
  </si>
  <si>
    <t xml:space="preserve">IS CODE 1200 PART 1 </t>
  </si>
  <si>
    <t>RCC Footing using frustrum</t>
  </si>
  <si>
    <t>Top side (m)</t>
  </si>
  <si>
    <t>Bottom side (m)</t>
  </si>
  <si>
    <t>Haunch height (m)</t>
  </si>
  <si>
    <t>Volume per footing (m3)</t>
  </si>
  <si>
    <t>Total volume (m3)</t>
  </si>
  <si>
    <t xml:space="preserve">RCC FOR COLUMN  </t>
  </si>
  <si>
    <t>Column Type</t>
  </si>
  <si>
    <t>Column Section (m)</t>
  </si>
  <si>
    <t>Column Area (m2)</t>
  </si>
  <si>
    <t>Column Height per storey (m)</t>
  </si>
  <si>
    <t>Column Volume per column per storey (m3)</t>
  </si>
  <si>
    <t>Total Column Volume per storey (m3)</t>
  </si>
  <si>
    <t>0.23 x 0.23</t>
  </si>
  <si>
    <t>0.3 x 0.3</t>
  </si>
  <si>
    <t xml:space="preserve">TOTAL FOR 3 STORE </t>
  </si>
  <si>
    <t>RCC FOR Beams</t>
  </si>
  <si>
    <t xml:space="preserve">Beams type </t>
  </si>
  <si>
    <t>c1</t>
  </si>
  <si>
    <t>c2</t>
  </si>
  <si>
    <t>count</t>
  </si>
  <si>
    <t>length</t>
  </si>
  <si>
    <t>width</t>
  </si>
  <si>
    <t>Areas(m2)</t>
  </si>
  <si>
    <t xml:space="preserve">Total area </t>
  </si>
  <si>
    <t>Volume</t>
  </si>
  <si>
    <t>B1</t>
  </si>
  <si>
    <t>B2</t>
  </si>
  <si>
    <t>B3</t>
  </si>
  <si>
    <t>B4</t>
  </si>
  <si>
    <t xml:space="preserve">B4 </t>
  </si>
  <si>
    <t>Total Area</t>
  </si>
  <si>
    <t>Total Area for formwork</t>
  </si>
  <si>
    <t>Area for fomwork</t>
  </si>
  <si>
    <t>Total Beams area for formwork</t>
  </si>
  <si>
    <t>Total Columns area for formwork</t>
  </si>
  <si>
    <t>m2</t>
  </si>
  <si>
    <t>For formwork</t>
  </si>
  <si>
    <t xml:space="preserve">FORMWORK ARE FIR FOOTING </t>
  </si>
  <si>
    <t>Lateral surface area</t>
  </si>
  <si>
    <t xml:space="preserve">cubiodal suface are </t>
  </si>
  <si>
    <t xml:space="preserve">curved surface are </t>
  </si>
  <si>
    <t>Total Formwork Area(m2)</t>
  </si>
  <si>
    <t>Back fill</t>
  </si>
  <si>
    <t>Exavacation-PCC-RCC(Footing)+ground Flour beam level</t>
  </si>
  <si>
    <t xml:space="preserve">Ground flour beam level filling </t>
  </si>
  <si>
    <t>Total backfill(m2)</t>
  </si>
  <si>
    <t xml:space="preserve">Deepak chaurasia </t>
  </si>
  <si>
    <t>Rahul</t>
  </si>
  <si>
    <t xml:space="preserve">Shreyansh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</si>
</sst>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7" fillId="0" borderId="0" xfId="0" applyFont="1"/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5" fillId="3" borderId="0" xfId="0" applyFont="1" applyFill="1"/>
    <xf numFmtId="0" fontId="0" fillId="3" borderId="0" xfId="0" applyFill="1"/>
    <xf numFmtId="0" fontId="0" fillId="0" borderId="0" xfId="0" applyFont="1"/>
    <xf numFmtId="0" fontId="9" fillId="4" borderId="0" xfId="0" applyFont="1" applyFill="1"/>
    <xf numFmtId="0" fontId="9" fillId="2" borderId="0" xfId="0" applyFont="1" applyFill="1"/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F98E30-00B1-9A4C-B8E9-42E609573FC3}" name="Table4" displayName="Table4" ref="A1:B18" totalsRowShown="0" headerRowDxfId="9" headerRowBorderDxfId="10" tableBorderDxfId="11">
  <autoFilter ref="A1:B18" xr:uid="{D6F98E30-00B1-9A4C-B8E9-42E609573FC3}"/>
  <tableColumns count="2">
    <tableColumn id="1" xr3:uid="{A60D78EA-F002-D446-B8B6-3E991D45EC79}" name="Assumption"/>
    <tableColumn id="2" xr3:uid="{3F947489-200E-F842-8814-02B8909C9E8A}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82BFF8-BBA8-7A41-8A15-DA11AFB59494}" name="Table2" displayName="Table2" ref="D5:L8" totalsRowShown="0" headerRowDxfId="12">
  <autoFilter ref="D5:L8" xr:uid="{5182BFF8-BBA8-7A41-8A15-DA11AFB59494}"/>
  <tableColumns count="9">
    <tableColumn id="1" xr3:uid="{5B588788-FB61-014A-AF11-9A3DC0FECCEA}" name="Footing Type" dataDxfId="15"/>
    <tableColumn id="2" xr3:uid="{02087575-10F5-7744-A828-3317BBE0C58C}" name="Count" dataDxfId="14"/>
    <tableColumn id="3" xr3:uid="{27309E3B-B89E-1145-B5E2-7D0316CC87F1}" name="Plan size (m)"/>
    <tableColumn id="4" xr3:uid="{1A52A5B4-DBFC-8B4D-AD59-5B61BEB060D7}" name="Working space each side (m)"/>
    <tableColumn id="5" xr3:uid="{B51B7B83-314C-CA48-A3B5-8090725DDA90}" name="Excavation plan size(Effective size after adding 0.6)( (m)"/>
    <tableColumn id="6" xr3:uid="{F26B87AD-42C6-6743-9005-9A5EE46B310C}" name="Excavation area (m²)"/>
    <tableColumn id="7" xr3:uid="{9A3AA1E7-F09B-6549-9F91-17A4F32400C6}" name="Depth (m)"/>
    <tableColumn id="8" xr3:uid="{0ABF35B6-0065-F946-8C1E-4C495166D578}" name="Volume per footing (m³)"/>
    <tableColumn id="9" xr3:uid="{4010422D-57B2-DC49-8648-AF4F1AD6111E}" name="Total Volume (m³)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2DCB3-FF78-854D-9CF9-801C5338CD0F}" name="Table1" displayName="Table1" ref="D5:J9" totalsRowShown="0" headerRowDxfId="16" dataDxfId="17" headerRowBorderDxfId="25" tableBorderDxfId="26">
  <autoFilter ref="D5:J9" xr:uid="{6132DCB3-FF78-854D-9CF9-801C5338CD0F}"/>
  <tableColumns count="7">
    <tableColumn id="1" xr3:uid="{085C2DC4-2C57-A94F-B05E-0A0E35C51CFB}" name="Footing Type" dataDxfId="24"/>
    <tableColumn id="2" xr3:uid="{C6F3AAB4-05C6-AD4A-8875-BF3BDE840978}" name="Count" dataDxfId="23"/>
    <tableColumn id="3" xr3:uid="{59254573-F805-FB40-AD26-B09BBE72EC57}" name="PCC Plan Size (m)" dataDxfId="22"/>
    <tableColumn id="4" xr3:uid="{5D91F040-724B-0E49-A52D-A0B80ACD65D3}" name="PCC Area (m²)" dataDxfId="21"/>
    <tableColumn id="5" xr3:uid="{704D3D22-3B57-4A49-8617-3A61DF2FBE2F}" name="PCC Thickness (m)" dataDxfId="20"/>
    <tableColumn id="6" xr3:uid="{0EC3A166-19C8-2A4F-968C-A270A5F2C714}" name="PCC Volume per footing (m³)" dataDxfId="19"/>
    <tableColumn id="7" xr3:uid="{B0E367D5-24EE-7042-A281-12E5AE077344}" name="Total PCC Volume (m³)" dataDxfId="1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96FCDE-4AEE-0548-A21B-A90DCD6924F9}" name="Table5" displayName="Table5" ref="E6:K10" totalsRowShown="0" headerRowDxfId="6" headerRowBorderDxfId="7" tableBorderDxfId="8">
  <autoFilter ref="E6:K10" xr:uid="{E896FCDE-4AEE-0548-A21B-A90DCD6924F9}"/>
  <tableColumns count="7">
    <tableColumn id="1" xr3:uid="{5D9BFBE6-49CF-A744-A0E5-0AB443E33381}" name="Footing Type"/>
    <tableColumn id="2" xr3:uid="{C052871E-7256-8E4D-8F73-8A6B7909049B}" name="Count"/>
    <tableColumn id="3" xr3:uid="{2EAD0EC4-9FF7-2942-B20D-FC1BFA9D0CA8}" name="Top side (m)"/>
    <tableColumn id="4" xr3:uid="{45E7429E-2A88-C543-9648-ACC1834708B5}" name="Bottom side (m)"/>
    <tableColumn id="5" xr3:uid="{162C7B35-C734-7742-B0D2-D0AA806D2AA3}" name="Haunch height (m)"/>
    <tableColumn id="6" xr3:uid="{ED83088C-7476-DC4E-9D02-891845C7E205}" name="Volume per footing (m3)"/>
    <tableColumn id="7" xr3:uid="{811A4694-5B42-6A40-976A-55504C61A01A}" name="Total volume (m3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460F75-CBE1-7E41-98EC-2BD190C64577}" name="Table6" displayName="Table6" ref="E17:L22" totalsRowShown="0" headerRowDxfId="3" headerRowBorderDxfId="4" tableBorderDxfId="5">
  <autoFilter ref="E17:L22" xr:uid="{73460F75-CBE1-7E41-98EC-2BD190C64577}"/>
  <tableColumns count="8">
    <tableColumn id="1" xr3:uid="{112DBEB6-0C88-4B45-819F-3961BC21C447}" name="Column Type"/>
    <tableColumn id="2" xr3:uid="{580DE92A-A288-9D46-AE0E-07F7DF5A6D95}" name="Count"/>
    <tableColumn id="3" xr3:uid="{47FA171B-1606-2B4B-8E50-DEE68CB46272}" name="Column Section (m)"/>
    <tableColumn id="4" xr3:uid="{49058075-3792-6E4C-85C0-0A973D7004BB}" name="Column Area (m2)"/>
    <tableColumn id="5" xr3:uid="{BD20D79C-F1F5-7249-B687-BC6C14896691}" name="Column Height per storey (m)"/>
    <tableColumn id="6" xr3:uid="{01FB166B-4CBF-244B-8C29-FC31C92E60D3}" name="Column Volume per column per storey (m3)"/>
    <tableColumn id="7" xr3:uid="{A723040F-BF01-104E-B0A0-64033EC1E928}" name="Total Column Volume per storey (m3)"/>
    <tableColumn id="8" xr3:uid="{BDAF2FCB-DD33-D24A-B89C-60AAAD74A945}" name="Area for fomwork" dataDxfId="2">
      <calculatedColumnFormula>4*0.23*Table6[[#This Row],[Column Height per storey (m)]]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7EEDB8-75FD-D441-B7B9-F6D46E712C58}" name="Table8" displayName="Table8" ref="F11:K14" totalsRowShown="0" headerRowDxfId="0">
  <autoFilter ref="F11:K14" xr:uid="{607EEDB8-75FD-D441-B7B9-F6D46E712C58}"/>
  <tableColumns count="6">
    <tableColumn id="1" xr3:uid="{DF87F394-CE1B-734A-8E74-CC26EEFC1F59}" name="Column1"/>
    <tableColumn id="2" xr3:uid="{9BA188A6-C9DC-A448-BA43-362753ABB14C}" name="count"/>
    <tableColumn id="3" xr3:uid="{7A10AED5-53D9-B54A-9884-95906635281F}" name="Lateral surface area"/>
    <tableColumn id="4" xr3:uid="{253EEED3-CCED-F34E-ACBC-E933158CE06F}" name="cubiodal suface are "/>
    <tableColumn id="5" xr3:uid="{745E0CC3-49A0-F747-96FC-49EBC03AC303}" name="curved surface are "/>
    <tableColumn id="6" xr3:uid="{F0C25C53-DBCC-D242-B52F-60DF42125436}" name="Column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E895A2-B9E2-D54F-AC58-7F2C6D33BFE4}" name="Table9" displayName="Table9" ref="G5:I7" totalsRowShown="0">
  <autoFilter ref="G5:I7" xr:uid="{CFE895A2-B9E2-D54F-AC58-7F2C6D33BFE4}"/>
  <tableColumns count="3">
    <tableColumn id="1" xr3:uid="{AA11AB97-7D04-C14D-B0B3-25A02A0718F3}" name="Column1"/>
    <tableColumn id="2" xr3:uid="{976F2D11-1F2F-4E49-91E4-A1ECB2D43AC1}" name="Column2">
      <calculatedColumnFormula>RCC_Footings!L20</calculatedColumnFormula>
    </tableColumn>
    <tableColumn id="3" xr3:uid="{F27F205B-1FB8-5A4A-903E-1DD3F67FA943}" name="Column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581B24-BBB0-CA44-96E9-67803EF14E33}" name="Table7" displayName="Table7" ref="I9:J10" totalsRowShown="0" headerRowDxfId="1">
  <autoFilter ref="I9:J10" xr:uid="{03581B24-BBB0-CA44-96E9-67803EF14E33}"/>
  <tableColumns count="2">
    <tableColumn id="1" xr3:uid="{E22B6155-FC0C-E049-8968-1E1D2C96EA09}" name="Back fill"/>
    <tableColumn id="2" xr3:uid="{E4075ABB-9D22-BD4D-8A0F-9A1ED0BAE3A2}" name="Exavacation-PCC-RCC(Footing)+ground Flour beam level">
      <calculatedColumnFormula>SUM(Backfill!J5,Excavation!L8,-PCC!J8,-RCC_Footings!K9)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8A75-5658-6E4A-95B6-0710F9497A61}">
  <dimension ref="C5:D7"/>
  <sheetViews>
    <sheetView tabSelected="1" workbookViewId="0">
      <selection activeCell="D13" sqref="D13"/>
    </sheetView>
  </sheetViews>
  <sheetFormatPr baseColWidth="10" defaultRowHeight="15" x14ac:dyDescent="0.2"/>
  <cols>
    <col min="3" max="3" width="21.33203125" customWidth="1"/>
    <col min="4" max="4" width="43.5" customWidth="1"/>
  </cols>
  <sheetData>
    <row r="5" spans="3:4" ht="26" x14ac:dyDescent="0.3">
      <c r="C5" s="16">
        <v>220330</v>
      </c>
      <c r="D5" s="15" t="s">
        <v>109</v>
      </c>
    </row>
    <row r="6" spans="3:4" ht="26" x14ac:dyDescent="0.3">
      <c r="C6" s="16">
        <v>221031</v>
      </c>
      <c r="D6" s="15" t="s">
        <v>111</v>
      </c>
    </row>
    <row r="7" spans="3:4" ht="26" x14ac:dyDescent="0.3">
      <c r="C7" s="16">
        <v>220855</v>
      </c>
      <c r="D7" s="15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73.83203125" customWidth="1"/>
    <col min="2" max="2" width="64.33203125" customWidth="1"/>
  </cols>
  <sheetData>
    <row r="1" spans="1:2" x14ac:dyDescent="0.2">
      <c r="A1" s="10" t="s">
        <v>0</v>
      </c>
      <c r="B1" s="10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opLeftCell="F1" zoomScale="139" workbookViewId="0">
      <selection activeCell="H8" sqref="H8"/>
    </sheetView>
  </sheetViews>
  <sheetFormatPr baseColWidth="10" defaultColWidth="8.83203125" defaultRowHeight="15" x14ac:dyDescent="0.2"/>
  <cols>
    <col min="4" max="4" width="19.5" customWidth="1"/>
    <col min="5" max="5" width="16.83203125" customWidth="1"/>
    <col min="6" max="6" width="13.83203125" customWidth="1"/>
    <col min="7" max="7" width="27.6640625" customWidth="1"/>
    <col min="8" max="8" width="50.5" customWidth="1"/>
    <col min="9" max="9" width="20.1640625" customWidth="1"/>
    <col min="10" max="10" width="17.1640625" customWidth="1"/>
    <col min="11" max="11" width="22.5" customWidth="1"/>
    <col min="12" max="12" width="17.83203125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</row>
    <row r="3" spans="1:12" x14ac:dyDescent="0.2">
      <c r="D3" s="5" t="s">
        <v>53</v>
      </c>
      <c r="E3" s="5" t="s">
        <v>54</v>
      </c>
      <c r="H3" s="6" t="s">
        <v>46</v>
      </c>
    </row>
    <row r="5" spans="1:12" x14ac:dyDescent="0.2">
      <c r="D5" s="2" t="s">
        <v>37</v>
      </c>
      <c r="E5" s="2" t="s">
        <v>34</v>
      </c>
      <c r="F5" s="2" t="s">
        <v>38</v>
      </c>
      <c r="G5" s="2" t="s">
        <v>39</v>
      </c>
      <c r="H5" s="2" t="s">
        <v>55</v>
      </c>
      <c r="I5" s="2" t="s">
        <v>40</v>
      </c>
      <c r="J5" s="2" t="s">
        <v>35</v>
      </c>
      <c r="K5" s="2" t="s">
        <v>41</v>
      </c>
      <c r="L5" s="2" t="s">
        <v>42</v>
      </c>
    </row>
    <row r="6" spans="1:12" x14ac:dyDescent="0.2">
      <c r="D6" s="2" t="s">
        <v>43</v>
      </c>
      <c r="E6" s="3">
        <v>12</v>
      </c>
      <c r="F6" s="3">
        <v>0.9</v>
      </c>
      <c r="G6" s="3">
        <v>0.6</v>
      </c>
      <c r="H6" s="3" t="s">
        <v>56</v>
      </c>
      <c r="I6" s="3">
        <v>4.41</v>
      </c>
      <c r="J6" s="3">
        <v>1.05</v>
      </c>
      <c r="K6" s="3">
        <v>4.6304999999999996</v>
      </c>
      <c r="L6" s="3">
        <v>55.566000000000003</v>
      </c>
    </row>
    <row r="7" spans="1:12" x14ac:dyDescent="0.2">
      <c r="D7" s="2" t="s">
        <v>44</v>
      </c>
      <c r="E7" s="3">
        <v>5</v>
      </c>
      <c r="F7" s="3">
        <v>1.08</v>
      </c>
      <c r="G7" s="3">
        <v>0.6</v>
      </c>
      <c r="H7" s="3" t="s">
        <v>57</v>
      </c>
      <c r="I7" s="3">
        <v>5.1984000000000004</v>
      </c>
      <c r="J7" s="3">
        <v>1.05</v>
      </c>
      <c r="K7" s="3">
        <v>5.4583000000000004</v>
      </c>
      <c r="L7" s="3">
        <v>27.292000000000002</v>
      </c>
    </row>
    <row r="8" spans="1:12" ht="16" x14ac:dyDescent="0.2">
      <c r="D8" s="2" t="s">
        <v>45</v>
      </c>
      <c r="E8" s="3">
        <v>17</v>
      </c>
      <c r="F8" s="4"/>
      <c r="G8" s="4"/>
      <c r="H8" s="4"/>
      <c r="I8" s="4"/>
      <c r="J8" s="4"/>
      <c r="K8" s="4"/>
      <c r="L8" s="3">
        <v>82.858000000000004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topLeftCell="B1" zoomScale="125" workbookViewId="0">
      <selection activeCell="D28" sqref="D28"/>
    </sheetView>
  </sheetViews>
  <sheetFormatPr baseColWidth="10" defaultColWidth="8.83203125" defaultRowHeight="15" x14ac:dyDescent="0.2"/>
  <cols>
    <col min="1" max="1" width="33.33203125" customWidth="1"/>
    <col min="3" max="3" width="27" customWidth="1"/>
    <col min="4" max="4" width="26.83203125" customWidth="1"/>
    <col min="5" max="5" width="16" customWidth="1"/>
    <col min="6" max="6" width="22.33203125" customWidth="1"/>
    <col min="7" max="7" width="17.33203125" customWidth="1"/>
    <col min="8" max="8" width="20" customWidth="1"/>
    <col min="9" max="9" width="28.5" customWidth="1"/>
    <col min="10" max="10" width="20.6640625" customWidth="1"/>
  </cols>
  <sheetData>
    <row r="1" spans="1:10" x14ac:dyDescent="0.2">
      <c r="A1" s="1"/>
      <c r="B1" s="1"/>
      <c r="C1" s="1"/>
      <c r="D1" s="1"/>
      <c r="E1" s="1"/>
      <c r="F1" s="1"/>
      <c r="G1" s="1"/>
    </row>
    <row r="3" spans="1:10" x14ac:dyDescent="0.2">
      <c r="D3" t="s">
        <v>61</v>
      </c>
      <c r="F3" s="6" t="s">
        <v>52</v>
      </c>
    </row>
    <row r="5" spans="1:10" x14ac:dyDescent="0.2">
      <c r="D5" s="8" t="s">
        <v>37</v>
      </c>
      <c r="E5" s="9" t="s">
        <v>34</v>
      </c>
      <c r="F5" s="9" t="s">
        <v>47</v>
      </c>
      <c r="G5" s="9" t="s">
        <v>48</v>
      </c>
      <c r="H5" s="9" t="s">
        <v>49</v>
      </c>
      <c r="I5" s="9" t="s">
        <v>50</v>
      </c>
      <c r="J5" s="9" t="s">
        <v>51</v>
      </c>
    </row>
    <row r="6" spans="1:10" x14ac:dyDescent="0.2">
      <c r="D6" s="7" t="s">
        <v>43</v>
      </c>
      <c r="E6" s="7">
        <v>12</v>
      </c>
      <c r="F6" s="7">
        <v>0.9</v>
      </c>
      <c r="G6" s="7">
        <v>0.81</v>
      </c>
      <c r="H6" s="7">
        <v>0.1</v>
      </c>
      <c r="I6" s="7">
        <v>8.1000000000000003E-2</v>
      </c>
      <c r="J6" s="7">
        <v>0.97199999999999998</v>
      </c>
    </row>
    <row r="7" spans="1:10" x14ac:dyDescent="0.2">
      <c r="D7" s="7" t="s">
        <v>44</v>
      </c>
      <c r="E7" s="7">
        <v>5</v>
      </c>
      <c r="F7" s="7">
        <v>1.08</v>
      </c>
      <c r="G7" s="7">
        <v>1.1664000000000001</v>
      </c>
      <c r="H7" s="7">
        <v>0.1</v>
      </c>
      <c r="I7" s="7">
        <v>0.11663999999999999</v>
      </c>
      <c r="J7" s="7">
        <v>0.58320000000000005</v>
      </c>
    </row>
    <row r="8" spans="1:10" x14ac:dyDescent="0.2">
      <c r="D8" s="7" t="s">
        <v>45</v>
      </c>
      <c r="E8" s="7">
        <v>17</v>
      </c>
      <c r="F8" s="7"/>
      <c r="G8" s="7"/>
      <c r="H8" s="7"/>
      <c r="I8" s="7"/>
      <c r="J8" s="7">
        <v>1.5551999999999999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topLeftCell="D1" zoomScale="136" workbookViewId="0">
      <selection activeCell="F25" sqref="F25"/>
    </sheetView>
  </sheetViews>
  <sheetFormatPr baseColWidth="10" defaultColWidth="8.83203125" defaultRowHeight="15" x14ac:dyDescent="0.2"/>
  <cols>
    <col min="1" max="1" width="25.33203125" customWidth="1"/>
    <col min="2" max="2" width="19.5" customWidth="1"/>
    <col min="3" max="3" width="3.5" customWidth="1"/>
    <col min="5" max="5" width="16.1640625" customWidth="1"/>
    <col min="6" max="6" width="21.83203125" customWidth="1"/>
    <col min="7" max="7" width="18.83203125" customWidth="1"/>
    <col min="8" max="8" width="17.33203125" customWidth="1"/>
    <col min="9" max="9" width="26" customWidth="1"/>
    <col min="10" max="10" width="37.1640625" customWidth="1"/>
    <col min="11" max="11" width="32.1640625" customWidth="1"/>
    <col min="12" max="12" width="22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</row>
    <row r="3" spans="1:11" x14ac:dyDescent="0.2">
      <c r="F3" s="6" t="s">
        <v>62</v>
      </c>
    </row>
    <row r="6" spans="1:11" x14ac:dyDescent="0.2">
      <c r="E6" s="10" t="s">
        <v>37</v>
      </c>
      <c r="F6" s="10" t="s">
        <v>34</v>
      </c>
      <c r="G6" s="10" t="s">
        <v>63</v>
      </c>
      <c r="H6" s="10" t="s">
        <v>64</v>
      </c>
      <c r="I6" s="10" t="s">
        <v>65</v>
      </c>
      <c r="J6" s="10" t="s">
        <v>66</v>
      </c>
      <c r="K6" s="10" t="s">
        <v>67</v>
      </c>
    </row>
    <row r="7" spans="1:11" x14ac:dyDescent="0.2">
      <c r="E7" t="s">
        <v>43</v>
      </c>
      <c r="F7">
        <v>12</v>
      </c>
      <c r="G7">
        <v>0.23</v>
      </c>
      <c r="H7">
        <v>0.9</v>
      </c>
      <c r="I7">
        <v>0.4</v>
      </c>
      <c r="J7">
        <v>0.22364999999999999</v>
      </c>
      <c r="K7">
        <v>2.6838000000000002</v>
      </c>
    </row>
    <row r="8" spans="1:11" x14ac:dyDescent="0.2">
      <c r="E8" t="s">
        <v>44</v>
      </c>
      <c r="F8">
        <v>5</v>
      </c>
      <c r="G8">
        <v>0.3</v>
      </c>
      <c r="H8">
        <v>1.08</v>
      </c>
      <c r="I8">
        <v>0.45</v>
      </c>
      <c r="J8">
        <v>0.35370000000000001</v>
      </c>
      <c r="K8">
        <v>1.7685</v>
      </c>
    </row>
    <row r="9" spans="1:11" x14ac:dyDescent="0.2">
      <c r="E9" t="s">
        <v>45</v>
      </c>
      <c r="F9">
        <v>17</v>
      </c>
      <c r="K9">
        <f>SUM(K7:K8)</f>
        <v>4.4523000000000001</v>
      </c>
    </row>
    <row r="14" spans="1:11" x14ac:dyDescent="0.2">
      <c r="F14" s="6" t="s">
        <v>68</v>
      </c>
    </row>
    <row r="17" spans="4:12" x14ac:dyDescent="0.2">
      <c r="E17" s="10" t="s">
        <v>69</v>
      </c>
      <c r="F17" s="10" t="s">
        <v>34</v>
      </c>
      <c r="G17" s="10" t="s">
        <v>70</v>
      </c>
      <c r="H17" s="10" t="s">
        <v>71</v>
      </c>
      <c r="I17" s="10" t="s">
        <v>72</v>
      </c>
      <c r="J17" s="10" t="s">
        <v>73</v>
      </c>
      <c r="K17" s="10" t="s">
        <v>74</v>
      </c>
      <c r="L17" s="10" t="s">
        <v>95</v>
      </c>
    </row>
    <row r="18" spans="4:12" x14ac:dyDescent="0.2">
      <c r="E18" t="s">
        <v>43</v>
      </c>
      <c r="F18">
        <v>12</v>
      </c>
      <c r="G18" t="s">
        <v>75</v>
      </c>
      <c r="H18">
        <v>5.2900000000000003E-2</v>
      </c>
      <c r="I18">
        <v>3.36</v>
      </c>
      <c r="J18">
        <v>0.17774400000000001</v>
      </c>
      <c r="K18">
        <v>2.1329280000000002</v>
      </c>
      <c r="L18">
        <f>4*0.23*Table6[[#This Row],[Column Height per storey (m)]]</f>
        <v>3.0912000000000002</v>
      </c>
    </row>
    <row r="19" spans="4:12" x14ac:dyDescent="0.2">
      <c r="E19" t="s">
        <v>44</v>
      </c>
      <c r="F19">
        <v>5</v>
      </c>
      <c r="G19" t="s">
        <v>76</v>
      </c>
      <c r="H19">
        <v>0.09</v>
      </c>
      <c r="I19">
        <v>3.36</v>
      </c>
      <c r="J19">
        <v>0.3024</v>
      </c>
      <c r="K19">
        <v>1.512</v>
      </c>
      <c r="L19">
        <v>4.032</v>
      </c>
    </row>
    <row r="20" spans="4:12" x14ac:dyDescent="0.2">
      <c r="E20" t="s">
        <v>45</v>
      </c>
      <c r="F20">
        <v>17</v>
      </c>
      <c r="K20">
        <v>3.6449280000000002</v>
      </c>
      <c r="L20">
        <f>SUM(L18:L19)</f>
        <v>7.1232000000000006</v>
      </c>
    </row>
    <row r="21" spans="4:12" x14ac:dyDescent="0.2">
      <c r="E21" t="s">
        <v>77</v>
      </c>
      <c r="K21">
        <f>3*K20</f>
        <v>10.934784000000001</v>
      </c>
      <c r="L21">
        <f>3*L20</f>
        <v>21.369600000000002</v>
      </c>
    </row>
    <row r="25" spans="4:12" x14ac:dyDescent="0.2">
      <c r="F25" s="11" t="s">
        <v>78</v>
      </c>
    </row>
    <row r="27" spans="4:12" x14ac:dyDescent="0.2">
      <c r="E27" s="1" t="s">
        <v>79</v>
      </c>
      <c r="F27" s="1" t="s">
        <v>82</v>
      </c>
      <c r="G27" s="1" t="s">
        <v>83</v>
      </c>
      <c r="H27" s="1" t="s">
        <v>84</v>
      </c>
      <c r="I27" s="1" t="s">
        <v>85</v>
      </c>
      <c r="J27" s="1" t="s">
        <v>86</v>
      </c>
      <c r="K27" s="1" t="s">
        <v>87</v>
      </c>
      <c r="L27" s="1"/>
    </row>
    <row r="28" spans="4:12" x14ac:dyDescent="0.2">
      <c r="D28" s="11"/>
      <c r="E28" t="s">
        <v>88</v>
      </c>
      <c r="F28">
        <v>5</v>
      </c>
      <c r="G28">
        <v>3.8849999999999998</v>
      </c>
      <c r="H28">
        <v>0.23499999999999999</v>
      </c>
      <c r="I28">
        <f>G28*H28</f>
        <v>0.91297499999999987</v>
      </c>
      <c r="J28">
        <f>F28*I28</f>
        <v>4.5648749999999989</v>
      </c>
      <c r="K28">
        <f>0.1*J28</f>
        <v>0.45648749999999993</v>
      </c>
    </row>
    <row r="29" spans="4:12" x14ac:dyDescent="0.2">
      <c r="D29" s="11"/>
      <c r="E29" t="s">
        <v>88</v>
      </c>
      <c r="F29">
        <v>5</v>
      </c>
      <c r="G29">
        <v>3.6949999999999998</v>
      </c>
      <c r="H29">
        <v>0.23499999999999999</v>
      </c>
      <c r="I29">
        <f t="shared" ref="I29:I48" si="0">G29*H29</f>
        <v>0.8683249999999999</v>
      </c>
      <c r="J29">
        <f t="shared" ref="J29:J48" si="1">F29*I29</f>
        <v>4.3416249999999996</v>
      </c>
      <c r="K29">
        <f t="shared" ref="K29:K48" si="2">0.1*J29</f>
        <v>0.43416250000000001</v>
      </c>
    </row>
    <row r="30" spans="4:12" x14ac:dyDescent="0.2">
      <c r="D30" s="11"/>
      <c r="E30" t="s">
        <v>88</v>
      </c>
      <c r="F30">
        <v>5</v>
      </c>
      <c r="G30">
        <v>3.165</v>
      </c>
      <c r="H30">
        <v>0.23499999999999999</v>
      </c>
      <c r="I30">
        <f t="shared" si="0"/>
        <v>0.74377499999999996</v>
      </c>
      <c r="J30">
        <f t="shared" si="1"/>
        <v>3.7188749999999997</v>
      </c>
      <c r="K30">
        <f t="shared" si="2"/>
        <v>0.37188749999999998</v>
      </c>
    </row>
    <row r="31" spans="4:12" x14ac:dyDescent="0.2">
      <c r="D31" s="11"/>
      <c r="E31" t="s">
        <v>88</v>
      </c>
      <c r="F31">
        <v>5</v>
      </c>
      <c r="G31">
        <v>2.7050000000000001</v>
      </c>
      <c r="H31">
        <v>0.23499999999999999</v>
      </c>
      <c r="I31">
        <f t="shared" si="0"/>
        <v>0.63567499999999999</v>
      </c>
      <c r="J31">
        <f t="shared" si="1"/>
        <v>3.178375</v>
      </c>
      <c r="K31">
        <f t="shared" si="2"/>
        <v>0.3178375</v>
      </c>
    </row>
    <row r="32" spans="4:12" x14ac:dyDescent="0.2">
      <c r="D32" s="11"/>
      <c r="E32" t="s">
        <v>89</v>
      </c>
      <c r="F32">
        <v>5</v>
      </c>
      <c r="G32">
        <v>3.6549999999999998</v>
      </c>
      <c r="H32">
        <v>0.3</v>
      </c>
      <c r="I32">
        <f t="shared" si="0"/>
        <v>1.0964999999999998</v>
      </c>
      <c r="J32">
        <f t="shared" si="1"/>
        <v>5.482499999999999</v>
      </c>
      <c r="K32">
        <f t="shared" si="2"/>
        <v>0.5482499999999999</v>
      </c>
    </row>
    <row r="33" spans="4:11" x14ac:dyDescent="0.2">
      <c r="D33" s="11"/>
      <c r="E33" t="s">
        <v>90</v>
      </c>
      <c r="F33">
        <v>1</v>
      </c>
      <c r="G33">
        <v>3.66</v>
      </c>
      <c r="H33">
        <v>0.23</v>
      </c>
      <c r="I33">
        <f t="shared" si="0"/>
        <v>0.8418000000000001</v>
      </c>
      <c r="J33">
        <f t="shared" si="1"/>
        <v>0.8418000000000001</v>
      </c>
      <c r="K33">
        <f t="shared" si="2"/>
        <v>8.4180000000000019E-2</v>
      </c>
    </row>
    <row r="34" spans="4:11" x14ac:dyDescent="0.2">
      <c r="D34" s="11"/>
      <c r="E34" t="s">
        <v>91</v>
      </c>
      <c r="F34">
        <v>1</v>
      </c>
      <c r="G34">
        <v>3.4649999999999999</v>
      </c>
      <c r="H34">
        <v>0.23</v>
      </c>
      <c r="I34">
        <f t="shared" si="0"/>
        <v>0.79695000000000005</v>
      </c>
      <c r="J34">
        <f t="shared" si="1"/>
        <v>0.79695000000000005</v>
      </c>
      <c r="K34">
        <f t="shared" si="2"/>
        <v>7.9695000000000016E-2</v>
      </c>
    </row>
    <row r="35" spans="4:11" x14ac:dyDescent="0.2">
      <c r="D35" s="11"/>
      <c r="E35" t="s">
        <v>90</v>
      </c>
      <c r="F35">
        <v>1</v>
      </c>
      <c r="G35">
        <v>2.9350000000000001</v>
      </c>
      <c r="H35">
        <v>0.23</v>
      </c>
      <c r="I35">
        <f t="shared" si="0"/>
        <v>0.67505000000000004</v>
      </c>
      <c r="J35">
        <f t="shared" si="1"/>
        <v>0.67505000000000004</v>
      </c>
      <c r="K35">
        <f t="shared" si="2"/>
        <v>6.7505000000000009E-2</v>
      </c>
    </row>
    <row r="36" spans="4:11" x14ac:dyDescent="0.2">
      <c r="D36" s="11"/>
      <c r="E36" t="s">
        <v>92</v>
      </c>
      <c r="F36">
        <v>1</v>
      </c>
      <c r="G36">
        <v>3.35</v>
      </c>
      <c r="H36">
        <v>0.23</v>
      </c>
      <c r="I36">
        <f t="shared" si="0"/>
        <v>0.77050000000000007</v>
      </c>
      <c r="J36">
        <f t="shared" si="1"/>
        <v>0.77050000000000007</v>
      </c>
      <c r="K36">
        <f t="shared" si="2"/>
        <v>7.7050000000000007E-2</v>
      </c>
    </row>
    <row r="37" spans="4:11" x14ac:dyDescent="0.2">
      <c r="D37" s="11"/>
      <c r="E37" t="s">
        <v>88</v>
      </c>
      <c r="F37">
        <v>2</v>
      </c>
      <c r="G37">
        <v>3.8849999999999998</v>
      </c>
      <c r="H37">
        <v>0.23</v>
      </c>
      <c r="I37" s="12">
        <f t="shared" si="0"/>
        <v>0.89354999999999996</v>
      </c>
      <c r="J37" s="13">
        <f t="shared" si="1"/>
        <v>1.7870999999999999</v>
      </c>
      <c r="K37">
        <f t="shared" si="2"/>
        <v>0.17871000000000001</v>
      </c>
    </row>
    <row r="38" spans="4:11" x14ac:dyDescent="0.2">
      <c r="F38">
        <v>8</v>
      </c>
      <c r="G38">
        <v>2.9750000000000001</v>
      </c>
      <c r="H38">
        <v>0.23</v>
      </c>
      <c r="I38">
        <f t="shared" si="0"/>
        <v>0.68425000000000002</v>
      </c>
      <c r="J38">
        <f t="shared" si="1"/>
        <v>5.4740000000000002</v>
      </c>
      <c r="K38">
        <f t="shared" si="2"/>
        <v>0.5474</v>
      </c>
    </row>
    <row r="39" spans="4:11" x14ac:dyDescent="0.2">
      <c r="F39">
        <v>8</v>
      </c>
      <c r="G39">
        <v>2.4350000000000001</v>
      </c>
      <c r="H39">
        <v>0.23</v>
      </c>
      <c r="I39">
        <f t="shared" si="0"/>
        <v>0.56005000000000005</v>
      </c>
      <c r="J39">
        <f t="shared" si="1"/>
        <v>4.4804000000000004</v>
      </c>
      <c r="K39">
        <f t="shared" si="2"/>
        <v>0.44804000000000005</v>
      </c>
    </row>
    <row r="40" spans="4:11" x14ac:dyDescent="0.2">
      <c r="F40">
        <v>2</v>
      </c>
      <c r="G40">
        <v>2.86</v>
      </c>
      <c r="H40">
        <v>0.3</v>
      </c>
      <c r="I40">
        <f t="shared" si="0"/>
        <v>0.85799999999999998</v>
      </c>
      <c r="J40">
        <f t="shared" si="1"/>
        <v>1.716</v>
      </c>
      <c r="K40">
        <f t="shared" si="2"/>
        <v>0.1716</v>
      </c>
    </row>
    <row r="41" spans="4:11" x14ac:dyDescent="0.2">
      <c r="F41">
        <v>2</v>
      </c>
      <c r="G41">
        <v>2.3250000000000002</v>
      </c>
      <c r="H41">
        <v>0.3</v>
      </c>
      <c r="I41">
        <f t="shared" si="0"/>
        <v>0.69750000000000001</v>
      </c>
      <c r="J41">
        <f t="shared" si="1"/>
        <v>1.395</v>
      </c>
      <c r="K41">
        <f t="shared" si="2"/>
        <v>0.13950000000000001</v>
      </c>
    </row>
    <row r="42" spans="4:11" x14ac:dyDescent="0.2">
      <c r="F42">
        <v>2</v>
      </c>
      <c r="G42">
        <v>2.895</v>
      </c>
      <c r="H42">
        <v>0.3</v>
      </c>
      <c r="I42">
        <f t="shared" si="0"/>
        <v>0.86849999999999994</v>
      </c>
      <c r="J42">
        <f t="shared" si="1"/>
        <v>1.7369999999999999</v>
      </c>
      <c r="K42">
        <f t="shared" si="2"/>
        <v>0.17369999999999999</v>
      </c>
    </row>
    <row r="43" spans="4:11" x14ac:dyDescent="0.2">
      <c r="F43">
        <v>2</v>
      </c>
      <c r="G43">
        <v>2.36</v>
      </c>
      <c r="H43">
        <v>0.3</v>
      </c>
      <c r="I43">
        <f t="shared" si="0"/>
        <v>0.70799999999999996</v>
      </c>
      <c r="J43">
        <f t="shared" si="1"/>
        <v>1.4159999999999999</v>
      </c>
      <c r="K43">
        <f t="shared" si="2"/>
        <v>0.1416</v>
      </c>
    </row>
    <row r="44" spans="4:11" x14ac:dyDescent="0.2">
      <c r="F44">
        <v>1</v>
      </c>
      <c r="G44">
        <v>6.0949999999999998</v>
      </c>
      <c r="H44">
        <v>0.23</v>
      </c>
      <c r="I44">
        <f t="shared" si="0"/>
        <v>1.40185</v>
      </c>
      <c r="J44">
        <f t="shared" si="1"/>
        <v>1.40185</v>
      </c>
      <c r="K44">
        <f t="shared" si="2"/>
        <v>0.140185</v>
      </c>
    </row>
    <row r="45" spans="4:11" x14ac:dyDescent="0.2">
      <c r="F45">
        <v>3</v>
      </c>
      <c r="G45">
        <v>0.53500000000000003</v>
      </c>
      <c r="H45">
        <v>0.23</v>
      </c>
      <c r="I45">
        <f t="shared" si="0"/>
        <v>0.12305000000000001</v>
      </c>
      <c r="J45">
        <f t="shared" si="1"/>
        <v>0.36915000000000003</v>
      </c>
      <c r="K45">
        <f t="shared" si="2"/>
        <v>3.6915000000000003E-2</v>
      </c>
    </row>
    <row r="46" spans="4:11" x14ac:dyDescent="0.2">
      <c r="F46">
        <v>3</v>
      </c>
      <c r="G46">
        <v>3.66</v>
      </c>
      <c r="H46">
        <v>0.23</v>
      </c>
      <c r="I46">
        <f t="shared" si="0"/>
        <v>0.8418000000000001</v>
      </c>
      <c r="J46">
        <f t="shared" si="1"/>
        <v>2.5254000000000003</v>
      </c>
      <c r="K46">
        <f t="shared" si="2"/>
        <v>0.25254000000000004</v>
      </c>
    </row>
    <row r="47" spans="4:11" x14ac:dyDescent="0.2">
      <c r="F47">
        <v>2</v>
      </c>
      <c r="G47">
        <v>2.9750000000000001</v>
      </c>
      <c r="H47">
        <v>0.23</v>
      </c>
      <c r="I47">
        <f t="shared" si="0"/>
        <v>0.68425000000000002</v>
      </c>
      <c r="J47">
        <f t="shared" si="1"/>
        <v>1.3685</v>
      </c>
      <c r="K47">
        <f t="shared" si="2"/>
        <v>0.13685</v>
      </c>
    </row>
    <row r="48" spans="4:11" x14ac:dyDescent="0.2">
      <c r="F48">
        <v>2</v>
      </c>
      <c r="G48">
        <v>2.4350000000000001</v>
      </c>
      <c r="H48">
        <v>0.23</v>
      </c>
      <c r="I48">
        <f t="shared" si="0"/>
        <v>0.56005000000000005</v>
      </c>
      <c r="J48">
        <f t="shared" si="1"/>
        <v>1.1201000000000001</v>
      </c>
      <c r="K48">
        <f t="shared" si="2"/>
        <v>0.11201000000000001</v>
      </c>
    </row>
    <row r="49" spans="9:11" x14ac:dyDescent="0.2">
      <c r="I49" s="11" t="s">
        <v>93</v>
      </c>
      <c r="J49" s="11">
        <f>SUM(J28:J48)</f>
        <v>49.161049999999989</v>
      </c>
      <c r="K49">
        <f>SUM(K29:K48)</f>
        <v>4.4596175000000002</v>
      </c>
    </row>
    <row r="50" spans="9:11" x14ac:dyDescent="0.2">
      <c r="I50" t="s">
        <v>94</v>
      </c>
      <c r="J50">
        <f>J49*2</f>
        <v>98.322099999999978</v>
      </c>
    </row>
  </sheetData>
  <phoneticPr fontId="8" type="noConversion"/>
  <pageMargins left="0.75" right="0.75" top="1" bottom="1" header="0.5" footer="0.5"/>
  <ignoredErrors>
    <ignoredError sqref="L19:L21" calculatedColumn="1"/>
  </ignoredErrors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>
      <selection activeCell="K7" sqref="K7"/>
    </sheetView>
  </sheetViews>
  <sheetFormatPr baseColWidth="10" defaultColWidth="8.83203125" defaultRowHeight="15" x14ac:dyDescent="0.2"/>
  <cols>
    <col min="6" max="6" width="10.5" customWidth="1"/>
    <col min="7" max="7" width="27.33203125" customWidth="1"/>
    <col min="8" max="8" width="19.83203125" customWidth="1"/>
    <col min="9" max="9" width="18.5" customWidth="1"/>
    <col min="10" max="10" width="26.1640625" customWidth="1"/>
    <col min="11" max="11" width="11.5" customWidth="1"/>
  </cols>
  <sheetData>
    <row r="1" spans="1:11" x14ac:dyDescent="0.2">
      <c r="A1" s="1"/>
      <c r="B1" s="1"/>
      <c r="C1" s="1"/>
      <c r="D1" s="1"/>
    </row>
    <row r="2" spans="1:11" x14ac:dyDescent="0.2">
      <c r="G2" t="s">
        <v>99</v>
      </c>
    </row>
    <row r="5" spans="1:11" x14ac:dyDescent="0.2">
      <c r="G5" t="s">
        <v>58</v>
      </c>
      <c r="H5" t="s">
        <v>59</v>
      </c>
      <c r="I5" t="s">
        <v>60</v>
      </c>
    </row>
    <row r="6" spans="1:11" x14ac:dyDescent="0.2">
      <c r="G6" t="s">
        <v>96</v>
      </c>
      <c r="H6">
        <f>Total_Area_for_formwork</f>
        <v>98.322099999999978</v>
      </c>
      <c r="I6" t="s">
        <v>98</v>
      </c>
    </row>
    <row r="7" spans="1:11" x14ac:dyDescent="0.2">
      <c r="G7" t="s">
        <v>97</v>
      </c>
      <c r="H7">
        <f>RCC_Footings!L21</f>
        <v>21.369600000000002</v>
      </c>
      <c r="I7" t="s">
        <v>98</v>
      </c>
    </row>
    <row r="9" spans="1:11" x14ac:dyDescent="0.2">
      <c r="G9" s="6" t="s">
        <v>100</v>
      </c>
    </row>
    <row r="11" spans="1:11" x14ac:dyDescent="0.2">
      <c r="F11" t="s">
        <v>58</v>
      </c>
      <c r="G11" s="5" t="s">
        <v>82</v>
      </c>
      <c r="H11" s="5" t="s">
        <v>101</v>
      </c>
      <c r="I11" s="5" t="s">
        <v>102</v>
      </c>
      <c r="J11" s="5" t="s">
        <v>103</v>
      </c>
      <c r="K11" t="s">
        <v>59</v>
      </c>
    </row>
    <row r="12" spans="1:11" x14ac:dyDescent="0.2">
      <c r="F12" t="s">
        <v>80</v>
      </c>
      <c r="G12">
        <v>12</v>
      </c>
      <c r="H12" s="14">
        <v>1.343</v>
      </c>
      <c r="I12">
        <f>4*0.75*0.21</f>
        <v>0.63</v>
      </c>
      <c r="J12">
        <f>I12+H12</f>
        <v>1.9729999999999999</v>
      </c>
      <c r="K12">
        <f>J12*G12</f>
        <v>23.675999999999998</v>
      </c>
    </row>
    <row r="13" spans="1:11" x14ac:dyDescent="0.2">
      <c r="F13" t="s">
        <v>81</v>
      </c>
      <c r="G13">
        <v>5</v>
      </c>
      <c r="H13" s="14">
        <v>1.8169999999999999</v>
      </c>
      <c r="I13">
        <f>4*0.225*0.9</f>
        <v>0.81</v>
      </c>
      <c r="J13">
        <f>I13+H13</f>
        <v>2.6269999999999998</v>
      </c>
      <c r="K13">
        <f>J13*G13</f>
        <v>13.134999999999998</v>
      </c>
    </row>
    <row r="14" spans="1:11" x14ac:dyDescent="0.2">
      <c r="G14" s="11" t="s">
        <v>36</v>
      </c>
      <c r="K14">
        <f>SUM(K12:K13)</f>
        <v>36.810999999999993</v>
      </c>
    </row>
    <row r="18" spans="7:11" x14ac:dyDescent="0.2">
      <c r="G18" s="6" t="s">
        <v>104</v>
      </c>
      <c r="K18" s="11">
        <f>K14+H6+H7</f>
        <v>156.50269999999995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>
      <selection activeCell="J17" sqref="J17"/>
    </sheetView>
  </sheetViews>
  <sheetFormatPr baseColWidth="10" defaultColWidth="8.83203125" defaultRowHeight="15" x14ac:dyDescent="0.2"/>
  <cols>
    <col min="9" max="9" width="27" customWidth="1"/>
    <col min="10" max="10" width="45.8320312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</row>
    <row r="5" spans="1:10" x14ac:dyDescent="0.2">
      <c r="I5" s="6" t="s">
        <v>107</v>
      </c>
      <c r="J5" s="5">
        <f>0.84*(3.2+2.665)*(17.375)</f>
        <v>85.599674999999991</v>
      </c>
    </row>
    <row r="9" spans="1:10" x14ac:dyDescent="0.2">
      <c r="I9" s="5" t="s">
        <v>105</v>
      </c>
      <c r="J9" s="5" t="s">
        <v>106</v>
      </c>
    </row>
    <row r="10" spans="1:10" x14ac:dyDescent="0.2">
      <c r="I10" t="s">
        <v>108</v>
      </c>
      <c r="J10">
        <f>SUM(Backfill!J5,Excavation!L8,-PCC!J8,-RCC_Footings!K9)</f>
        <v>162.45017499999997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Group Member </vt:lpstr>
      <vt:lpstr>Dimensions</vt:lpstr>
      <vt:lpstr>Excavation</vt:lpstr>
      <vt:lpstr>PCC</vt:lpstr>
      <vt:lpstr>RCC_Footings</vt:lpstr>
      <vt:lpstr>Formworks</vt:lpstr>
      <vt:lpstr>Backfill</vt:lpstr>
      <vt:lpstr>Total_Area_for_formwork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Chaurasia Chaurasia</cp:lastModifiedBy>
  <dcterms:created xsi:type="dcterms:W3CDTF">2025-08-26T15:13:13Z</dcterms:created>
  <dcterms:modified xsi:type="dcterms:W3CDTF">2025-08-28T16:23:04Z</dcterms:modified>
</cp:coreProperties>
</file>