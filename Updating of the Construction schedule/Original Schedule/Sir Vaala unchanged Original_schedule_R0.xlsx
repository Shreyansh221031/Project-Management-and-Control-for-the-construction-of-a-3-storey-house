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https://iitk-my.sharepoint.com/personal/ckothari_iitk_ac_in/Documents/8. Teaching/8. CE716 - Project management and control/2_2025-26 I Semester/Lectures/Lecture 16/Schedule update/"/>
    </mc:Choice>
  </mc:AlternateContent>
  <xr:revisionPtr revIDLastSave="24" documentId="13_ncr:1000001_{D1304DB1-BB7E-634E-91B0-622999A06E5A}" xr6:coauthVersionLast="47" xr6:coauthVersionMax="47" xr10:uidLastSave="{2E2F7D37-AA14-4927-8E4A-9EFFB8B5DB67}"/>
  <bookViews>
    <workbookView xWindow="-110" yWindow="-110" windowWidth="22780" windowHeight="14540" xr2:uid="{00000000-000D-0000-FFFF-FFFF00000000}"/>
  </bookViews>
  <sheets>
    <sheet name="Team" sheetId="1" r:id="rId1"/>
    <sheet name="Shedule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4" l="1"/>
  <c r="F4" i="4"/>
  <c r="I4" i="4" a="1"/>
  <c r="I4" i="4" s="1"/>
  <c r="J4" i="4" s="1"/>
  <c r="I5" i="4" s="1" a="1"/>
  <c r="I5" i="4" s="1"/>
  <c r="J5" i="4" s="1"/>
  <c r="I6" i="4" s="1" a="1"/>
  <c r="I6" i="4" s="1"/>
  <c r="J6" i="4" s="1"/>
  <c r="I7" i="4" s="1" a="1"/>
  <c r="I7" i="4" s="1"/>
  <c r="J7" i="4" s="1"/>
  <c r="I8" i="4" s="1" a="1"/>
  <c r="I8" i="4" s="1"/>
  <c r="J8" i="4" s="1"/>
  <c r="I9" i="4" s="1" a="1"/>
  <c r="I9" i="4" s="1"/>
  <c r="J9" i="4" s="1"/>
  <c r="I10" i="4" s="1" a="1"/>
  <c r="I10" i="4" s="1"/>
  <c r="J10" i="4" s="1"/>
  <c r="I11" i="4" s="1" a="1"/>
  <c r="I11" i="4" s="1"/>
  <c r="J11" i="4" s="1"/>
  <c r="I12" i="4" s="1" a="1"/>
  <c r="I12" i="4" s="1"/>
  <c r="J12" i="4" s="1"/>
  <c r="I13" i="4" s="1" a="1"/>
  <c r="I13" i="4" s="1"/>
  <c r="J13" i="4" s="1"/>
  <c r="I14" i="4" s="1" a="1"/>
  <c r="I14" i="4" s="1"/>
  <c r="J14" i="4" s="1"/>
  <c r="I15" i="4" s="1" a="1"/>
  <c r="I15" i="4" s="1"/>
  <c r="J15" i="4" s="1"/>
  <c r="I16" i="4" s="1" a="1"/>
  <c r="I16" i="4" s="1"/>
  <c r="J16" i="4" s="1"/>
  <c r="I17" i="4" s="1" a="1"/>
  <c r="I17" i="4" s="1"/>
  <c r="J17" i="4" s="1"/>
  <c r="I18" i="4" s="1" a="1"/>
  <c r="I18" i="4" s="1"/>
  <c r="J18" i="4" s="1"/>
  <c r="I19" i="4" s="1" a="1"/>
  <c r="I19" i="4" s="1"/>
  <c r="J19" i="4" s="1"/>
  <c r="I20" i="4" s="1" a="1"/>
  <c r="I20" i="4" s="1"/>
  <c r="J20" i="4" s="1"/>
  <c r="I21" i="4" s="1" a="1"/>
  <c r="I21" i="4" s="1"/>
  <c r="J21" i="4" s="1"/>
  <c r="I22" i="4" s="1" a="1"/>
  <c r="I22" i="4" s="1"/>
  <c r="J22" i="4" s="1"/>
  <c r="I23" i="4" s="1" a="1"/>
  <c r="I23" i="4" s="1"/>
  <c r="J23" i="4" s="1"/>
  <c r="I24" i="4" s="1" a="1"/>
  <c r="I24" i="4" s="1"/>
  <c r="J24" i="4" s="1"/>
  <c r="I25" i="4" s="1" a="1"/>
  <c r="I25" i="4" s="1"/>
  <c r="J25" i="4" s="1"/>
  <c r="I26" i="4" s="1" a="1"/>
  <c r="I26" i="4" s="1"/>
  <c r="J26" i="4" s="1"/>
  <c r="I27" i="4" s="1" a="1"/>
  <c r="I27" i="4" s="1"/>
  <c r="J27" i="4" s="1"/>
  <c r="I28" i="4" s="1" a="1"/>
  <c r="I28" i="4" s="1"/>
  <c r="J28" i="4" s="1"/>
  <c r="I29" i="4" s="1" a="1"/>
  <c r="I29" i="4" s="1"/>
  <c r="J29" i="4" s="1"/>
  <c r="I30" i="4" s="1" a="1"/>
  <c r="I30" i="4" s="1"/>
  <c r="J30" i="4" s="1"/>
  <c r="I31" i="4" s="1" a="1"/>
  <c r="I31" i="4" s="1"/>
  <c r="J31" i="4" s="1"/>
  <c r="I32" i="4" s="1" a="1"/>
  <c r="I32" i="4" s="1"/>
  <c r="J32" i="4" s="1"/>
  <c r="I33" i="4" s="1" a="1"/>
  <c r="I33" i="4" s="1"/>
  <c r="J33" i="4" s="1"/>
  <c r="I34" i="4" s="1" a="1"/>
  <c r="I34" i="4" s="1"/>
  <c r="J34" i="4" s="1"/>
  <c r="I35" i="4" s="1" a="1"/>
  <c r="I35" i="4" s="1"/>
  <c r="J35" i="4" s="1"/>
  <c r="I36" i="4" s="1" a="1"/>
  <c r="I36" i="4" s="1"/>
  <c r="J36" i="4" s="1"/>
  <c r="I37" i="4" s="1" a="1"/>
  <c r="I37" i="4" s="1"/>
  <c r="J37" i="4" s="1"/>
  <c r="I38" i="4" s="1" a="1"/>
  <c r="I38" i="4" s="1"/>
  <c r="J38" i="4" s="1"/>
  <c r="I39" i="4" s="1" a="1"/>
  <c r="I39" i="4" s="1"/>
  <c r="J39" i="4" s="1"/>
  <c r="I40" i="4" s="1" a="1"/>
  <c r="I40" i="4" s="1"/>
  <c r="J40" i="4" s="1"/>
  <c r="I41" i="4" s="1" a="1"/>
  <c r="I41" i="4" s="1"/>
  <c r="J41" i="4" s="1"/>
  <c r="I42" i="4" s="1" a="1"/>
  <c r="I42" i="4" s="1"/>
  <c r="J42" i="4" s="1"/>
  <c r="I43" i="4" s="1" a="1"/>
  <c r="I43" i="4" s="1"/>
  <c r="J43" i="4" s="1"/>
  <c r="I44" i="4" s="1" a="1"/>
  <c r="I44" i="4" s="1"/>
  <c r="J44" i="4" s="1"/>
  <c r="I45" i="4" s="1" a="1"/>
  <c r="I45" i="4" s="1"/>
  <c r="J45" i="4" s="1"/>
  <c r="I46" i="4" s="1" a="1"/>
  <c r="I46" i="4" s="1"/>
  <c r="J46" i="4" s="1"/>
  <c r="I47" i="4" s="1" a="1"/>
  <c r="I47" i="4" s="1"/>
  <c r="J47" i="4" s="1"/>
  <c r="I48" i="4" s="1" a="1"/>
  <c r="I48" i="4" s="1"/>
  <c r="J48" i="4" s="1"/>
  <c r="I49" i="4" s="1" a="1"/>
  <c r="I49" i="4" s="1"/>
  <c r="J49" i="4" s="1"/>
  <c r="I50" i="4" s="1" a="1"/>
  <c r="I50" i="4" s="1"/>
  <c r="J50" i="4" s="1"/>
  <c r="I51" i="4" s="1" a="1"/>
  <c r="I51" i="4" s="1"/>
  <c r="J51" i="4" s="1"/>
  <c r="I52" i="4" s="1" a="1"/>
  <c r="I52" i="4" s="1"/>
  <c r="J52" i="4" s="1"/>
  <c r="I53" i="4" s="1" a="1"/>
  <c r="I53" i="4" s="1"/>
  <c r="J53" i="4" s="1"/>
  <c r="I54" i="4" s="1" a="1"/>
  <c r="I54" i="4" s="1"/>
  <c r="J54" i="4" s="1"/>
  <c r="I55" i="4" s="1" a="1"/>
  <c r="I55" i="4" s="1"/>
  <c r="J55" i="4" s="1"/>
  <c r="I56" i="4" s="1" a="1"/>
  <c r="I56" i="4" s="1"/>
  <c r="J56" i="4" s="1"/>
  <c r="I57" i="4" s="1" a="1"/>
  <c r="I57" i="4" s="1"/>
  <c r="J57" i="4" s="1"/>
  <c r="I58" i="4" s="1" a="1"/>
  <c r="I58" i="4" s="1"/>
  <c r="J58" i="4" s="1"/>
  <c r="I59" i="4" s="1" a="1"/>
  <c r="I59" i="4" s="1"/>
  <c r="J59" i="4" s="1"/>
  <c r="I60" i="4" s="1" a="1"/>
  <c r="I60" i="4" s="1"/>
  <c r="J60" i="4" s="1"/>
  <c r="I61" i="4" s="1" a="1"/>
  <c r="I61" i="4" s="1"/>
  <c r="J61" i="4" s="1"/>
  <c r="I62" i="4" s="1" a="1"/>
  <c r="I62" i="4" s="1"/>
  <c r="J62" i="4" s="1"/>
  <c r="I63" i="4" s="1" a="1"/>
  <c r="I63" i="4" s="1"/>
  <c r="J63" i="4" s="1"/>
  <c r="I64" i="4" s="1" a="1"/>
  <c r="I64" i="4" s="1"/>
  <c r="J64" i="4" s="1"/>
  <c r="I65" i="4" s="1" a="1"/>
  <c r="I65" i="4" s="1"/>
  <c r="J65" i="4" s="1"/>
  <c r="I66" i="4" s="1" a="1"/>
  <c r="I66" i="4" s="1"/>
  <c r="J66" i="4" s="1"/>
  <c r="I67" i="4" s="1" a="1"/>
  <c r="I67" i="4" s="1"/>
  <c r="J67" i="4" s="1"/>
  <c r="I68" i="4" s="1" a="1"/>
  <c r="I68" i="4" s="1"/>
  <c r="J68" i="4" s="1"/>
  <c r="I69" i="4" s="1" a="1"/>
  <c r="I69" i="4" s="1"/>
  <c r="J69" i="4" s="1"/>
  <c r="I70" i="4" s="1" a="1"/>
  <c r="I70" i="4" s="1"/>
  <c r="J70" i="4" s="1"/>
  <c r="I71" i="4" s="1" a="1"/>
  <c r="I71" i="4" s="1"/>
  <c r="J71" i="4" s="1"/>
  <c r="I72" i="4" s="1" a="1"/>
  <c r="I72" i="4" s="1"/>
  <c r="J72" i="4" s="1"/>
  <c r="I73" i="4" s="1" a="1"/>
  <c r="I73" i="4" s="1"/>
  <c r="J73" i="4" s="1"/>
  <c r="I74" i="4" s="1" a="1"/>
  <c r="I74" i="4" s="1"/>
  <c r="J74" i="4" s="1"/>
  <c r="I75" i="4" s="1" a="1"/>
  <c r="I75" i="4" s="1"/>
  <c r="J75" i="4" s="1"/>
  <c r="I76" i="4" s="1" a="1"/>
  <c r="I76" i="4" s="1"/>
  <c r="J76" i="4" s="1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I77" i="4" l="1" a="1"/>
  <c r="I77" i="4" s="1"/>
  <c r="J77" i="4" s="1"/>
  <c r="I78" i="4" a="1"/>
  <c r="I78" i="4" s="1"/>
  <c r="J78" i="4" s="1"/>
  <c r="I79" i="4" s="1" a="1"/>
  <c r="I79" i="4" s="1"/>
  <c r="J79" i="4" s="1"/>
  <c r="I80" i="4" s="1" a="1"/>
  <c r="I80" i="4" s="1"/>
  <c r="J80" i="4" s="1"/>
  <c r="I81" i="4" s="1" a="1"/>
  <c r="I81" i="4" s="1"/>
  <c r="J81" i="4" s="1"/>
  <c r="I82" i="4" l="1" a="1"/>
  <c r="I82" i="4" s="1"/>
  <c r="J82" i="4" s="1"/>
  <c r="I83" i="4" s="1" a="1"/>
  <c r="I83" i="4" s="1"/>
  <c r="J83" i="4" s="1"/>
  <c r="I84" i="4" s="1" a="1"/>
  <c r="I84" i="4" s="1"/>
  <c r="J84" i="4" s="1"/>
  <c r="I89" i="4" a="1"/>
  <c r="I89" i="4" s="1"/>
  <c r="J89" i="4" s="1"/>
  <c r="I85" i="4" a="1"/>
  <c r="I85" i="4" s="1"/>
  <c r="J85" i="4" s="1"/>
  <c r="I86" i="4" s="1" a="1"/>
  <c r="I86" i="4" s="1"/>
  <c r="J86" i="4" s="1"/>
  <c r="I87" i="4" s="1" a="1"/>
  <c r="I87" i="4" s="1"/>
  <c r="J87" i="4" s="1"/>
  <c r="I88" i="4" s="1" a="1"/>
  <c r="I88" i="4" s="1"/>
  <c r="J88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<sst xmlns="http://schemas.openxmlformats.org/spreadsheetml/2006/main" count="372" uniqueCount="203">
  <si>
    <t>Mobilization at site</t>
  </si>
  <si>
    <t>Surveying and layout</t>
  </si>
  <si>
    <t>Activity ID</t>
  </si>
  <si>
    <t>Phase</t>
  </si>
  <si>
    <t>Activity</t>
  </si>
  <si>
    <t>Level</t>
  </si>
  <si>
    <t>Duration</t>
  </si>
  <si>
    <t>Predecesser</t>
  </si>
  <si>
    <t>Relation</t>
  </si>
  <si>
    <t>Lag</t>
  </si>
  <si>
    <t>EST</t>
  </si>
  <si>
    <t>EFT</t>
  </si>
  <si>
    <t>A1</t>
  </si>
  <si>
    <t>Upto GL</t>
  </si>
  <si>
    <t>A2</t>
  </si>
  <si>
    <t>SS,FF</t>
  </si>
  <si>
    <t>A3</t>
  </si>
  <si>
    <t>A4</t>
  </si>
  <si>
    <t>Form Work for PCC of Footings and Plinth Beams</t>
  </si>
  <si>
    <t>FS</t>
  </si>
  <si>
    <t>A5</t>
  </si>
  <si>
    <t>A6</t>
  </si>
  <si>
    <t>A7</t>
  </si>
  <si>
    <t>A8</t>
  </si>
  <si>
    <t>A9</t>
  </si>
  <si>
    <t>A10</t>
  </si>
  <si>
    <t>Reinforcement for Columns upto GL</t>
  </si>
  <si>
    <t>A11</t>
  </si>
  <si>
    <t>Shuttering for Columns upto GL</t>
  </si>
  <si>
    <t>A12</t>
  </si>
  <si>
    <t>RCC for columns upto GL</t>
  </si>
  <si>
    <t>A13</t>
  </si>
  <si>
    <t>Deshuttering of Columns upto GL</t>
  </si>
  <si>
    <t>A14</t>
  </si>
  <si>
    <t>Brick Work upto GL</t>
  </si>
  <si>
    <t>A15</t>
  </si>
  <si>
    <t>Plastering the Brick work upto GL</t>
  </si>
  <si>
    <t>A16</t>
  </si>
  <si>
    <t>Water Proofing the Brick work upto GL</t>
  </si>
  <si>
    <t>A17</t>
  </si>
  <si>
    <t>Back Filling and Compacting</t>
  </si>
  <si>
    <t>A18</t>
  </si>
  <si>
    <t>Reinforcement for GL beams</t>
  </si>
  <si>
    <t>A19</t>
  </si>
  <si>
    <t>Shuttering for GL Beams</t>
  </si>
  <si>
    <t>A20</t>
  </si>
  <si>
    <t>RCC for GL beams</t>
  </si>
  <si>
    <t>A21</t>
  </si>
  <si>
    <t>Deshuttering for GlL beams after RCC</t>
  </si>
  <si>
    <t>A22</t>
  </si>
  <si>
    <t>PCC above GL for Plinth Slab</t>
  </si>
  <si>
    <t>A23</t>
  </si>
  <si>
    <t>Reinforcement for Plinth Slab</t>
  </si>
  <si>
    <t>A24</t>
  </si>
  <si>
    <t>RCC for Plinth Slab</t>
  </si>
  <si>
    <t>A25</t>
  </si>
  <si>
    <t>Reinforcemnt for GF Columns of ht 3mt</t>
  </si>
  <si>
    <t>Above GL upto FF</t>
  </si>
  <si>
    <t>A26</t>
  </si>
  <si>
    <t>Shuttering  for GF Columns of ht 3mt</t>
  </si>
  <si>
    <t>A27</t>
  </si>
  <si>
    <t>RCC for for GF Columns of ht 3mt</t>
  </si>
  <si>
    <t>A28</t>
  </si>
  <si>
    <t>Deshuttering  for GF Columns of ht 3mt</t>
  </si>
  <si>
    <t>A29</t>
  </si>
  <si>
    <t>Brick work for GF walls</t>
  </si>
  <si>
    <t>A30</t>
  </si>
  <si>
    <t>Shuttering for Staircase upto FF Slab</t>
  </si>
  <si>
    <t>A31</t>
  </si>
  <si>
    <t>Reinforcement for Staircase upto FF Slab</t>
  </si>
  <si>
    <t>A32</t>
  </si>
  <si>
    <t>RCC for Staircase upto FF Slab</t>
  </si>
  <si>
    <t>A33</t>
  </si>
  <si>
    <t>Deshuttering for Staircase upto FF Slab</t>
  </si>
  <si>
    <t>A34</t>
  </si>
  <si>
    <t>Shuttering for FF Beams and Slab</t>
  </si>
  <si>
    <t>A35</t>
  </si>
  <si>
    <t>Reinforcement for FF Beams and Slab</t>
  </si>
  <si>
    <t>A36</t>
  </si>
  <si>
    <t>RCC for FF Beams and Slab</t>
  </si>
  <si>
    <t>A37</t>
  </si>
  <si>
    <t>Deshuttering of  FF Beams and Slab</t>
  </si>
  <si>
    <t>A38</t>
  </si>
  <si>
    <t>Reinforcemnt for FF Columns of ht 3mt</t>
  </si>
  <si>
    <t>Above FF upto SF</t>
  </si>
  <si>
    <t>A39</t>
  </si>
  <si>
    <t>Shuttering  for FF Columns of ht 3mt</t>
  </si>
  <si>
    <t>A40</t>
  </si>
  <si>
    <t>RCC for for FF Columns of ht 3mt</t>
  </si>
  <si>
    <t>A41</t>
  </si>
  <si>
    <t>Deshuttering  for FF Columns of ht 3mt</t>
  </si>
  <si>
    <t>A42</t>
  </si>
  <si>
    <t>Brick work for FF walls</t>
  </si>
  <si>
    <t>A43</t>
  </si>
  <si>
    <t>Shuttering for Staircase upto SF Slab</t>
  </si>
  <si>
    <t>A44</t>
  </si>
  <si>
    <t>Reinforcement for Staircase upto SF Slab</t>
  </si>
  <si>
    <t>A45</t>
  </si>
  <si>
    <t>RCC for Staircase upto SF Slab</t>
  </si>
  <si>
    <t>A46</t>
  </si>
  <si>
    <t>Deshuttering for Staircase upto SF Slab</t>
  </si>
  <si>
    <t>A47</t>
  </si>
  <si>
    <t>Shuttering for SF Beams and Slab</t>
  </si>
  <si>
    <t>A48</t>
  </si>
  <si>
    <t>Reinforcement for SF Beams and Slab</t>
  </si>
  <si>
    <t>A49</t>
  </si>
  <si>
    <t>RCC for SF Beams and Slab</t>
  </si>
  <si>
    <t>A50</t>
  </si>
  <si>
    <t>Deshuttering of  SF Beams and Slab</t>
  </si>
  <si>
    <t>A51</t>
  </si>
  <si>
    <t>Reinforcemnt for SF Columns of ht 3mt</t>
  </si>
  <si>
    <t>Above SF upto Terrace</t>
  </si>
  <si>
    <t>A52</t>
  </si>
  <si>
    <t>Shuttering  for SF Columns of ht 3mt</t>
  </si>
  <si>
    <t>A53</t>
  </si>
  <si>
    <t>RCC for for SF Columns of ht 3mt</t>
  </si>
  <si>
    <t>A54</t>
  </si>
  <si>
    <t>Deshuttering  for SF Columns of ht 3mt</t>
  </si>
  <si>
    <t>A55</t>
  </si>
  <si>
    <t>Brick work for SF walls</t>
  </si>
  <si>
    <t>A56</t>
  </si>
  <si>
    <t>Shuttering for Staircase upto Terrace Slab</t>
  </si>
  <si>
    <t>A57</t>
  </si>
  <si>
    <t>Reinforcement for Staircase upto Terrace Slab</t>
  </si>
  <si>
    <t>A58</t>
  </si>
  <si>
    <t>RCC for Staircase upto Terrace Slab</t>
  </si>
  <si>
    <t>A59</t>
  </si>
  <si>
    <t>Deshuttering for Staircase upto Terrace Slab</t>
  </si>
  <si>
    <t>A60</t>
  </si>
  <si>
    <t>Shuttering for Terrace Beams and Slab</t>
  </si>
  <si>
    <t>A61</t>
  </si>
  <si>
    <t>Reinforcement for Terrace Beams and Slab</t>
  </si>
  <si>
    <t>A62</t>
  </si>
  <si>
    <t>RCC for Terrace Beams and Slab</t>
  </si>
  <si>
    <t>A63</t>
  </si>
  <si>
    <t>Deshuttering of  Terrace Beams and Slab</t>
  </si>
  <si>
    <t>A64</t>
  </si>
  <si>
    <t>Reinforcemnt for Terrace Columns of ht 1mt</t>
  </si>
  <si>
    <t>Above Terrace</t>
  </si>
  <si>
    <t>A65</t>
  </si>
  <si>
    <t>Shuttering  for Terrace Columns of ht 1mt</t>
  </si>
  <si>
    <t>A66</t>
  </si>
  <si>
    <t>RCC for for Terrace Columns of ht 1mt</t>
  </si>
  <si>
    <t>A67</t>
  </si>
  <si>
    <t>Deshuttering  for Terrace Columns of ht 1mt</t>
  </si>
  <si>
    <t>A68</t>
  </si>
  <si>
    <t>Brick work for Terrace parapet Wall</t>
  </si>
  <si>
    <t>A69</t>
  </si>
  <si>
    <t>Plastering for GF Walls, Columns, Beams and Slabs</t>
  </si>
  <si>
    <t>All 3 Floors</t>
  </si>
  <si>
    <t>A70</t>
  </si>
  <si>
    <t>Plastering for FF Walls, Columns, Beams and Slabs</t>
  </si>
  <si>
    <t>A71</t>
  </si>
  <si>
    <t>Plastering for SF Walls, Columns, Beams and Slabs</t>
  </si>
  <si>
    <t>A72</t>
  </si>
  <si>
    <t>Plastering for Terrace Walls, Columns</t>
  </si>
  <si>
    <t>A73</t>
  </si>
  <si>
    <t>Flooring in GF</t>
  </si>
  <si>
    <t>A74</t>
  </si>
  <si>
    <t>Flooring in FF</t>
  </si>
  <si>
    <t>A75</t>
  </si>
  <si>
    <t>A76</t>
  </si>
  <si>
    <t>A77</t>
  </si>
  <si>
    <t>Putty Application, White Washing,  Painting in GF</t>
  </si>
  <si>
    <t>A78</t>
  </si>
  <si>
    <t>Putty Application, White Washing,  Painting in FF</t>
  </si>
  <si>
    <t>A79</t>
  </si>
  <si>
    <t>Putty Application, White Washing,  Painting in SF</t>
  </si>
  <si>
    <t>A80</t>
  </si>
  <si>
    <t>Putty Application, White Washing,  Painting in Terrace</t>
  </si>
  <si>
    <t>A81</t>
  </si>
  <si>
    <t>Water Proofing the Terrace Slab, Columns, Walls</t>
  </si>
  <si>
    <t>A82</t>
  </si>
  <si>
    <t>Water proof Paint Coating on the entire External Walls outer face</t>
  </si>
  <si>
    <t>S.no</t>
  </si>
  <si>
    <t>Name</t>
  </si>
  <si>
    <t>Roll no</t>
  </si>
  <si>
    <t>Emai id</t>
  </si>
  <si>
    <t>M. Dheeraj</t>
  </si>
  <si>
    <t>mdheeraj24@iitk.ac.in</t>
  </si>
  <si>
    <t>K. Phani Kumar</t>
  </si>
  <si>
    <t>phanikk24@iitk.ac.in</t>
  </si>
  <si>
    <t>Excavation for Plinth Beams, Foundation, Septic Tank</t>
  </si>
  <si>
    <t>PCC for Footings, Plinth Beams and Septic Tank</t>
  </si>
  <si>
    <t>Reinforcement for Footings, Plinth Beams and Septic Tank</t>
  </si>
  <si>
    <t>Shuttering for Footings, Plinth Beams and Septic Tank</t>
  </si>
  <si>
    <t>RCC for Footings, Plinth Beams and Septic Tank</t>
  </si>
  <si>
    <t>Deshuttering of Footings, Plinth Beams and Septic Tank</t>
  </si>
  <si>
    <t>A83</t>
  </si>
  <si>
    <t>Sound Proofing/Insulating the Home theater room</t>
  </si>
  <si>
    <t>In SF</t>
  </si>
  <si>
    <t>A84</t>
  </si>
  <si>
    <t>Electrical works (Prewiring, Setup of projectors, speakers, cabels)</t>
  </si>
  <si>
    <t>A85</t>
  </si>
  <si>
    <t>Setting of the Seating</t>
  </si>
  <si>
    <t>A86</t>
  </si>
  <si>
    <t>Electrical Lighting</t>
  </si>
  <si>
    <t>A87</t>
  </si>
  <si>
    <t>Sanitary Works</t>
  </si>
  <si>
    <t>Installation of Doors,Windows and Carpentary works in all Floors</t>
  </si>
  <si>
    <t>SCHEDULE FOR CHANDLERS PROJECT AS A PROJECT MANAGER</t>
  </si>
  <si>
    <t>TEAM - Original Schedule</t>
  </si>
  <si>
    <t>TEAM - Revised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</si>
</sst>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yy;@"/>
  </numFmts>
  <fonts count="6" x14ac:knownFonts="1"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dheeraj24@iitk.ac.in" TargetMode="External"/><Relationship Id="rId1" Type="http://schemas.openxmlformats.org/officeDocument/2006/relationships/hyperlink" Target="mailto:phanikk24@iitk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zoomScale="119" workbookViewId="0">
      <selection activeCell="A8" sqref="A8:D8"/>
    </sheetView>
  </sheetViews>
  <sheetFormatPr defaultColWidth="8.6328125" defaultRowHeight="14" x14ac:dyDescent="0.35"/>
  <cols>
    <col min="1" max="1" width="5.81640625" style="5" customWidth="1"/>
    <col min="2" max="2" width="16.26953125" style="5" customWidth="1"/>
    <col min="3" max="3" width="12" style="5" customWidth="1"/>
    <col min="4" max="4" width="19.6328125" style="5" bestFit="1" customWidth="1"/>
    <col min="5" max="16384" width="8.6328125" style="5"/>
  </cols>
  <sheetData>
    <row r="1" spans="1:4" x14ac:dyDescent="0.35">
      <c r="A1" s="13" t="s">
        <v>201</v>
      </c>
      <c r="B1" s="13"/>
      <c r="C1" s="13"/>
      <c r="D1" s="13"/>
    </row>
    <row r="2" spans="1:4" x14ac:dyDescent="0.35">
      <c r="A2" s="6" t="s">
        <v>174</v>
      </c>
      <c r="B2" s="6" t="s">
        <v>175</v>
      </c>
      <c r="C2" s="6" t="s">
        <v>176</v>
      </c>
      <c r="D2" s="6" t="s">
        <v>177</v>
      </c>
    </row>
    <row r="3" spans="1:4" x14ac:dyDescent="0.35">
      <c r="A3" s="7">
        <v>1</v>
      </c>
      <c r="B3" s="7" t="s">
        <v>178</v>
      </c>
      <c r="C3" s="7">
        <v>241030052</v>
      </c>
      <c r="D3" s="8" t="s">
        <v>179</v>
      </c>
    </row>
    <row r="4" spans="1:4" x14ac:dyDescent="0.35">
      <c r="A4" s="7">
        <v>2</v>
      </c>
      <c r="B4" s="7" t="s">
        <v>180</v>
      </c>
      <c r="C4" s="7">
        <v>241030605</v>
      </c>
      <c r="D4" s="8" t="s">
        <v>181</v>
      </c>
    </row>
    <row r="8" spans="1:4" x14ac:dyDescent="0.35">
      <c r="A8" s="13" t="s">
        <v>202</v>
      </c>
      <c r="B8" s="13"/>
      <c r="C8" s="13"/>
      <c r="D8" s="13"/>
    </row>
    <row r="9" spans="1:4" x14ac:dyDescent="0.35">
      <c r="A9" s="6" t="s">
        <v>174</v>
      </c>
      <c r="B9" s="6" t="s">
        <v>175</v>
      </c>
      <c r="C9" s="6" t="s">
        <v>176</v>
      </c>
      <c r="D9" s="6" t="s">
        <v>177</v>
      </c>
    </row>
    <row r="10" spans="1:4" x14ac:dyDescent="0.35">
      <c r="A10" s="7"/>
      <c r="B10" s="7"/>
      <c r="C10" s="7"/>
      <c r="D10" s="8"/>
    </row>
    <row r="11" spans="1:4" x14ac:dyDescent="0.35">
      <c r="A11" s="7"/>
      <c r="B11" s="7"/>
      <c r="C11" s="7"/>
      <c r="D11" s="8"/>
    </row>
    <row r="12" spans="1:4" x14ac:dyDescent="0.35">
      <c r="A12" s="4"/>
    </row>
    <row r="21" spans="1:1" x14ac:dyDescent="0.35">
      <c r="A21" s="4"/>
    </row>
    <row r="30" spans="1:1" x14ac:dyDescent="0.35">
      <c r="A30" s="4"/>
    </row>
  </sheetData>
  <mergeCells count="2">
    <mergeCell ref="A1:D1"/>
    <mergeCell ref="A8:D8"/>
  </mergeCells>
  <hyperlinks>
    <hyperlink ref="D4" r:id="rId1" xr:uid="{890300F6-67DE-4E4C-B152-276F66789AE3}"/>
    <hyperlink ref="D3" r:id="rId2" xr:uid="{5D57A248-8772-4E4B-8A01-D15489FF5483}"/>
  </hyperlinks>
  <pageMargins left="0.7" right="0.7" top="0.75" bottom="0.75" header="0.3" footer="0.3"/>
  <pageSetup scale="0" firstPageNumber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F14A8-4CCA-4383-82C4-EFEC5960142B}">
  <dimension ref="A1:J90"/>
  <sheetViews>
    <sheetView topLeftCell="A85" zoomScale="113" workbookViewId="0">
      <selection activeCell="I90" sqref="I90:J90"/>
    </sheetView>
  </sheetViews>
  <sheetFormatPr defaultColWidth="9" defaultRowHeight="14" x14ac:dyDescent="0.35"/>
  <cols>
    <col min="1" max="1" width="10.08984375" style="2" customWidth="1"/>
    <col min="2" max="2" width="8.6328125" style="2" customWidth="1"/>
    <col min="3" max="3" width="14" style="2" customWidth="1"/>
    <col min="4" max="4" width="10.81640625" style="2" customWidth="1"/>
    <col min="5" max="5" width="11" style="2" customWidth="1"/>
    <col min="6" max="6" width="13.26953125" style="2" customWidth="1"/>
    <col min="7" max="7" width="8.6328125" style="2" customWidth="1"/>
    <col min="8" max="8" width="12.26953125" style="2" customWidth="1"/>
    <col min="9" max="9" width="14.54296875" style="2" customWidth="1"/>
    <col min="10" max="10" width="20.26953125" style="2" customWidth="1"/>
    <col min="11" max="16384" width="9" style="2"/>
  </cols>
  <sheetData>
    <row r="1" spans="1:10" s="3" customFormat="1" x14ac:dyDescent="0.35">
      <c r="A1" s="14" t="s">
        <v>200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s="3" customFormat="1" ht="68.25" customHeight="1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</row>
    <row r="3" spans="1:10" ht="28" x14ac:dyDescent="0.35">
      <c r="A3" s="9" t="s">
        <v>12</v>
      </c>
      <c r="B3" s="9">
        <v>1</v>
      </c>
      <c r="C3" s="9" t="s">
        <v>0</v>
      </c>
      <c r="D3" s="9" t="s">
        <v>13</v>
      </c>
      <c r="E3" s="9">
        <v>5</v>
      </c>
      <c r="F3" s="9"/>
      <c r="G3" s="10"/>
      <c r="H3" s="10"/>
      <c r="I3" s="11">
        <v>45566</v>
      </c>
      <c r="J3" s="11">
        <f>I3+E3</f>
        <v>45571</v>
      </c>
    </row>
    <row r="4" spans="1:10" ht="42" x14ac:dyDescent="0.35">
      <c r="A4" s="9" t="s">
        <v>14</v>
      </c>
      <c r="B4" s="9">
        <v>1</v>
      </c>
      <c r="C4" s="9" t="s">
        <v>1</v>
      </c>
      <c r="D4" s="9" t="s">
        <v>13</v>
      </c>
      <c r="E4" s="9">
        <v>2</v>
      </c>
      <c r="F4" s="9" t="str">
        <f>+C3</f>
        <v>Mobilization at site</v>
      </c>
      <c r="G4" s="9" t="s">
        <v>15</v>
      </c>
      <c r="H4" s="9">
        <v>1</v>
      </c>
      <c r="I4" s="12" cm="1">
        <f t="array" ref="I4">+_xlfn.IFS(G4="FS",VLOOKUP(E4,$C$3:$J$148,8,FALSE)+G4, G4="SS",VLOOKUP(F4,$C$3:$J$148,7,FALSE)+H4, G4="SS,FF",MAX(VLOOKUP(F4,$C$3:$J$148,7,FALSE)+H4,VLOOKUP(F4,$C$3:$J$148,8,FALSE)+H4-E4))</f>
        <v>45570</v>
      </c>
      <c r="J4" s="12">
        <f t="shared" ref="J4:J67" si="0">I4+E4</f>
        <v>45572</v>
      </c>
    </row>
    <row r="5" spans="1:10" ht="56" x14ac:dyDescent="0.35">
      <c r="A5" s="9" t="s">
        <v>16</v>
      </c>
      <c r="B5" s="9">
        <v>1</v>
      </c>
      <c r="C5" s="9" t="s">
        <v>182</v>
      </c>
      <c r="D5" s="9" t="s">
        <v>13</v>
      </c>
      <c r="E5" s="9">
        <v>2</v>
      </c>
      <c r="F5" s="9" t="str">
        <f t="shared" ref="F5:F68" si="1">+C4</f>
        <v>Surveying and layout</v>
      </c>
      <c r="G5" s="9" t="s">
        <v>15</v>
      </c>
      <c r="H5" s="9">
        <v>3</v>
      </c>
      <c r="I5" s="12" cm="1">
        <f t="array" ref="I5">+_xlfn.IFS(G5="FS",VLOOKUP(F5,$C$4:$J$148,8,FALSE)+H5, G5="SS",VLOOKUP(F5,$C$4:$J$148,7,FALSE)+H5, G5="SS,FF",MAX(VLOOKUP(F5,$C$4:$J$148,7,FALSE)+H5,VLOOKUP(F5,$C$4:$J$148,8,FALSE)+H5-E5))</f>
        <v>45573</v>
      </c>
      <c r="J5" s="12">
        <f t="shared" si="0"/>
        <v>45575</v>
      </c>
    </row>
    <row r="6" spans="1:10" ht="56" x14ac:dyDescent="0.35">
      <c r="A6" s="9" t="s">
        <v>17</v>
      </c>
      <c r="B6" s="9">
        <v>1</v>
      </c>
      <c r="C6" s="9" t="s">
        <v>18</v>
      </c>
      <c r="D6" s="9" t="s">
        <v>13</v>
      </c>
      <c r="E6" s="9">
        <v>2</v>
      </c>
      <c r="F6" s="9" t="str">
        <f t="shared" si="1"/>
        <v>Excavation for Plinth Beams, Foundation, Septic Tank</v>
      </c>
      <c r="G6" s="9" t="s">
        <v>19</v>
      </c>
      <c r="H6" s="9">
        <v>0</v>
      </c>
      <c r="I6" s="12" cm="1">
        <f t="array" ref="I6">+_xlfn.IFS(G6="FS",VLOOKUP(F6,$C$4:$J$148,8,FALSE)+H6, G6="SS",VLOOKUP(F6,$C$4:$J$148,7,FALSE)+H6, G6="SS,FF",MAX(VLOOKUP(F6,$C$4:$J$148,7,FALSE)+H6,VLOOKUP(F6,$C$4:$J$148,8,FALSE)+H6-E6))</f>
        <v>45575</v>
      </c>
      <c r="J6" s="12">
        <f t="shared" si="0"/>
        <v>45577</v>
      </c>
    </row>
    <row r="7" spans="1:10" ht="56" x14ac:dyDescent="0.35">
      <c r="A7" s="9" t="s">
        <v>20</v>
      </c>
      <c r="B7" s="9">
        <v>1</v>
      </c>
      <c r="C7" s="9" t="s">
        <v>183</v>
      </c>
      <c r="D7" s="9" t="s">
        <v>13</v>
      </c>
      <c r="E7" s="9">
        <v>2</v>
      </c>
      <c r="F7" s="9" t="str">
        <f t="shared" si="1"/>
        <v>Form Work for PCC of Footings and Plinth Beams</v>
      </c>
      <c r="G7" s="9" t="s">
        <v>19</v>
      </c>
      <c r="H7" s="9">
        <v>2</v>
      </c>
      <c r="I7" s="12" cm="1">
        <f t="array" ref="I7">+_xlfn.IFS(G7="FS",VLOOKUP(F7,$C$4:$J$148,8,FALSE)+H7, G7="SS",VLOOKUP(F7,$C$4:$J$148,7,FALSE)+H7, G7="SS,FF",MAX(VLOOKUP(F7,$C$4:$J$148,7,FALSE)+H7,VLOOKUP(F7,$C$4:$J$148,8,FALSE)+H7-E7))</f>
        <v>45579</v>
      </c>
      <c r="J7" s="12">
        <f t="shared" si="0"/>
        <v>45581</v>
      </c>
    </row>
    <row r="8" spans="1:10" ht="56" x14ac:dyDescent="0.35">
      <c r="A8" s="9" t="s">
        <v>21</v>
      </c>
      <c r="B8" s="9">
        <v>1</v>
      </c>
      <c r="C8" s="9" t="s">
        <v>184</v>
      </c>
      <c r="D8" s="9" t="s">
        <v>13</v>
      </c>
      <c r="E8" s="9">
        <v>3</v>
      </c>
      <c r="F8" s="9" t="str">
        <f t="shared" si="1"/>
        <v>PCC for Footings, Plinth Beams and Septic Tank</v>
      </c>
      <c r="G8" s="9" t="s">
        <v>15</v>
      </c>
      <c r="H8" s="9">
        <v>1</v>
      </c>
      <c r="I8" s="12" cm="1">
        <f t="array" ref="I8">+_xlfn.IFS(G8="FS",VLOOKUP(F8,$C$4:$J$148,8,FALSE)+H8, G8="SS",VLOOKUP(F8,$C$4:$J$148,7,FALSE)+H8, G8="SS,FF",MAX(VLOOKUP(F8,$C$4:$J$148,7,FALSE)+H8,VLOOKUP(F8,$C$4:$J$148,8,FALSE)+H8-E8))</f>
        <v>45580</v>
      </c>
      <c r="J8" s="12">
        <f t="shared" si="0"/>
        <v>45583</v>
      </c>
    </row>
    <row r="9" spans="1:10" ht="70" x14ac:dyDescent="0.35">
      <c r="A9" s="9" t="s">
        <v>22</v>
      </c>
      <c r="B9" s="9">
        <v>1</v>
      </c>
      <c r="C9" s="9" t="s">
        <v>185</v>
      </c>
      <c r="D9" s="9" t="s">
        <v>13</v>
      </c>
      <c r="E9" s="9">
        <v>3</v>
      </c>
      <c r="F9" s="9" t="str">
        <f t="shared" si="1"/>
        <v>Reinforcement for Footings, Plinth Beams and Septic Tank</v>
      </c>
      <c r="G9" s="9" t="s">
        <v>15</v>
      </c>
      <c r="H9" s="10">
        <v>1</v>
      </c>
      <c r="I9" s="12" cm="1">
        <f t="array" ref="I9">+_xlfn.IFS(G9="FS",VLOOKUP(F9,$C$4:$J$148,8,FALSE)+H9, G9="SS",VLOOKUP(F9,$C$4:$J$148,7,FALSE)+H9, G9="SS,FF",MAX(VLOOKUP(F9,$C$4:$J$148,7,FALSE)+H9,VLOOKUP(F9,$C$4:$J$148,8,FALSE)+H9-E9))</f>
        <v>45581</v>
      </c>
      <c r="J9" s="12">
        <f t="shared" si="0"/>
        <v>45584</v>
      </c>
    </row>
    <row r="10" spans="1:10" ht="56" x14ac:dyDescent="0.35">
      <c r="A10" s="9" t="s">
        <v>23</v>
      </c>
      <c r="B10" s="9">
        <v>1</v>
      </c>
      <c r="C10" s="9" t="s">
        <v>186</v>
      </c>
      <c r="D10" s="9" t="s">
        <v>13</v>
      </c>
      <c r="E10" s="9">
        <v>5</v>
      </c>
      <c r="F10" s="9" t="str">
        <f t="shared" si="1"/>
        <v>Shuttering for Footings, Plinth Beams and Septic Tank</v>
      </c>
      <c r="G10" s="10" t="s">
        <v>19</v>
      </c>
      <c r="H10" s="10">
        <v>0</v>
      </c>
      <c r="I10" s="12" cm="1">
        <f t="array" ref="I10">+_xlfn.IFS(G10="FS",VLOOKUP(F10,$C$4:$J$148,8,FALSE)+H10, G10="SS",VLOOKUP(F10,$C$4:$J$148,7,FALSE)+H10, G10="SS,FF",MAX(VLOOKUP(F10,$C$4:$J$148,7,FALSE)+H10,VLOOKUP(F10,$C$4:$J$148,8,FALSE)+H10-E10))</f>
        <v>45584</v>
      </c>
      <c r="J10" s="12">
        <f t="shared" si="0"/>
        <v>45589</v>
      </c>
    </row>
    <row r="11" spans="1:10" ht="56" x14ac:dyDescent="0.35">
      <c r="A11" s="9" t="s">
        <v>24</v>
      </c>
      <c r="B11" s="9">
        <v>1</v>
      </c>
      <c r="C11" s="9" t="s">
        <v>187</v>
      </c>
      <c r="D11" s="9" t="s">
        <v>13</v>
      </c>
      <c r="E11" s="9">
        <v>1</v>
      </c>
      <c r="F11" s="9" t="str">
        <f t="shared" si="1"/>
        <v>RCC for Footings, Plinth Beams and Septic Tank</v>
      </c>
      <c r="G11" s="10" t="s">
        <v>19</v>
      </c>
      <c r="H11" s="10">
        <v>0</v>
      </c>
      <c r="I11" s="12" cm="1">
        <f t="array" ref="I11">+_xlfn.IFS(G11="FS",VLOOKUP(F11,$C$4:$J$148,8,FALSE)+H11, G11="SS",VLOOKUP(F11,$C$4:$J$148,7,FALSE)+H11, G11="SS,FF",MAX(VLOOKUP(F11,$C$4:$J$148,7,FALSE)+H11,VLOOKUP(F11,$C$4:$J$148,8,FALSE)+H11-E11))</f>
        <v>45589</v>
      </c>
      <c r="J11" s="12">
        <f t="shared" si="0"/>
        <v>45590</v>
      </c>
    </row>
    <row r="12" spans="1:10" ht="56" x14ac:dyDescent="0.35">
      <c r="A12" s="9" t="s">
        <v>25</v>
      </c>
      <c r="B12" s="9">
        <v>2</v>
      </c>
      <c r="C12" s="9" t="s">
        <v>26</v>
      </c>
      <c r="D12" s="9" t="s">
        <v>13</v>
      </c>
      <c r="E12" s="9">
        <v>3</v>
      </c>
      <c r="F12" s="9" t="str">
        <f t="shared" si="1"/>
        <v>Deshuttering of Footings, Plinth Beams and Septic Tank</v>
      </c>
      <c r="G12" s="10" t="s">
        <v>19</v>
      </c>
      <c r="H12" s="10">
        <v>0</v>
      </c>
      <c r="I12" s="12" cm="1">
        <f t="array" ref="I12">+_xlfn.IFS(G12="FS",VLOOKUP(F12,$C$4:$J$148,8,FALSE)+H12, G12="SS",VLOOKUP(F12,$C$4:$J$148,7,FALSE)+H12, G12="SS,FF",MAX(VLOOKUP(F12,$C$4:$J$148,7,FALSE)+H12,VLOOKUP(F12,$C$4:$J$148,8,FALSE)+H12-E12))</f>
        <v>45590</v>
      </c>
      <c r="J12" s="12">
        <f t="shared" si="0"/>
        <v>45593</v>
      </c>
    </row>
    <row r="13" spans="1:10" ht="42" x14ac:dyDescent="0.35">
      <c r="A13" s="9" t="s">
        <v>27</v>
      </c>
      <c r="B13" s="9">
        <v>2</v>
      </c>
      <c r="C13" s="9" t="s">
        <v>28</v>
      </c>
      <c r="D13" s="9" t="s">
        <v>13</v>
      </c>
      <c r="E13" s="9">
        <v>2</v>
      </c>
      <c r="F13" s="9" t="str">
        <f t="shared" si="1"/>
        <v>Reinforcement for Columns upto GL</v>
      </c>
      <c r="G13" s="10" t="s">
        <v>19</v>
      </c>
      <c r="H13" s="10">
        <v>0</v>
      </c>
      <c r="I13" s="12" cm="1">
        <f t="array" ref="I13">+_xlfn.IFS(G13="FS",VLOOKUP(F13,$C$4:$J$148,8,FALSE)+H13, G13="SS",VLOOKUP(F13,$C$4:$J$148,7,FALSE)+H13, G13="SS,FF",MAX(VLOOKUP(F13,$C$4:$J$148,7,FALSE)+H13,VLOOKUP(F13,$C$4:$J$148,8,FALSE)+H13-E13))</f>
        <v>45593</v>
      </c>
      <c r="J13" s="12">
        <f t="shared" si="0"/>
        <v>45595</v>
      </c>
    </row>
    <row r="14" spans="1:10" ht="42" x14ac:dyDescent="0.35">
      <c r="A14" s="9" t="s">
        <v>29</v>
      </c>
      <c r="B14" s="9">
        <v>2</v>
      </c>
      <c r="C14" s="9" t="s">
        <v>30</v>
      </c>
      <c r="D14" s="9" t="s">
        <v>13</v>
      </c>
      <c r="E14" s="9">
        <v>3</v>
      </c>
      <c r="F14" s="9" t="str">
        <f t="shared" si="1"/>
        <v>Shuttering for Columns upto GL</v>
      </c>
      <c r="G14" s="10" t="s">
        <v>19</v>
      </c>
      <c r="H14" s="10">
        <v>0</v>
      </c>
      <c r="I14" s="12" cm="1">
        <f t="array" ref="I14">+_xlfn.IFS(G14="FS",VLOOKUP(F14,$C$4:$J$148,8,FALSE)+H14, G14="SS",VLOOKUP(F14,$C$4:$J$148,7,FALSE)+H14, G14="SS,FF",MAX(VLOOKUP(F14,$C$4:$J$148,7,FALSE)+H14,VLOOKUP(F14,$C$4:$J$148,8,FALSE)+H14-E14))</f>
        <v>45595</v>
      </c>
      <c r="J14" s="12">
        <f t="shared" si="0"/>
        <v>45598</v>
      </c>
    </row>
    <row r="15" spans="1:10" ht="42" x14ac:dyDescent="0.35">
      <c r="A15" s="9" t="s">
        <v>31</v>
      </c>
      <c r="B15" s="9">
        <v>2</v>
      </c>
      <c r="C15" s="9" t="s">
        <v>32</v>
      </c>
      <c r="D15" s="9" t="s">
        <v>13</v>
      </c>
      <c r="E15" s="9">
        <v>2</v>
      </c>
      <c r="F15" s="9" t="str">
        <f t="shared" si="1"/>
        <v>RCC for columns upto GL</v>
      </c>
      <c r="G15" s="10" t="s">
        <v>19</v>
      </c>
      <c r="H15" s="10">
        <v>0</v>
      </c>
      <c r="I15" s="12" cm="1">
        <f t="array" ref="I15">+_xlfn.IFS(G15="FS",VLOOKUP(F15,$C$4:$J$148,8,FALSE)+H15, G15="SS",VLOOKUP(F15,$C$4:$J$148,7,FALSE)+H15, G15="SS,FF",MAX(VLOOKUP(F15,$C$4:$J$148,7,FALSE)+H15,VLOOKUP(F15,$C$4:$J$148,8,FALSE)+H15-E15))</f>
        <v>45598</v>
      </c>
      <c r="J15" s="12">
        <f t="shared" si="0"/>
        <v>45600</v>
      </c>
    </row>
    <row r="16" spans="1:10" ht="42" x14ac:dyDescent="0.35">
      <c r="A16" s="9" t="s">
        <v>33</v>
      </c>
      <c r="B16" s="9">
        <v>2</v>
      </c>
      <c r="C16" s="9" t="s">
        <v>34</v>
      </c>
      <c r="D16" s="9" t="s">
        <v>13</v>
      </c>
      <c r="E16" s="9">
        <v>6</v>
      </c>
      <c r="F16" s="9" t="str">
        <f t="shared" si="1"/>
        <v>Deshuttering of Columns upto GL</v>
      </c>
      <c r="G16" s="10" t="s">
        <v>19</v>
      </c>
      <c r="H16" s="10">
        <v>0</v>
      </c>
      <c r="I16" s="12" cm="1">
        <f t="array" ref="I16">+_xlfn.IFS(G16="FS",VLOOKUP(F16,$C$4:$J$148,8,FALSE)+H16, G16="SS",VLOOKUP(F16,$C$4:$J$148,7,FALSE)+H16, G16="SS,FF",MAX(VLOOKUP(F16,$C$4:$J$148,7,FALSE)+H16,VLOOKUP(F16,$C$4:$J$148,8,FALSE)+H16-E16))</f>
        <v>45600</v>
      </c>
      <c r="J16" s="12">
        <f t="shared" si="0"/>
        <v>45606</v>
      </c>
    </row>
    <row r="17" spans="1:10" ht="42" x14ac:dyDescent="0.35">
      <c r="A17" s="9" t="s">
        <v>35</v>
      </c>
      <c r="B17" s="9">
        <v>2</v>
      </c>
      <c r="C17" s="9" t="s">
        <v>36</v>
      </c>
      <c r="D17" s="9" t="s">
        <v>13</v>
      </c>
      <c r="E17" s="9">
        <v>3</v>
      </c>
      <c r="F17" s="9" t="str">
        <f t="shared" si="1"/>
        <v>Brick Work upto GL</v>
      </c>
      <c r="G17" s="10" t="s">
        <v>19</v>
      </c>
      <c r="H17" s="10">
        <v>0</v>
      </c>
      <c r="I17" s="12" cm="1">
        <f t="array" ref="I17">+_xlfn.IFS(G17="FS",VLOOKUP(F17,$C$4:$J$148,8,FALSE)+H17, G17="SS",VLOOKUP(F17,$C$4:$J$148,7,FALSE)+H17, G17="SS,FF",MAX(VLOOKUP(F17,$C$4:$J$148,7,FALSE)+H17,VLOOKUP(F17,$C$4:$J$148,8,FALSE)+H17-E17))</f>
        <v>45606</v>
      </c>
      <c r="J17" s="12">
        <f t="shared" si="0"/>
        <v>45609</v>
      </c>
    </row>
    <row r="18" spans="1:10" ht="42" x14ac:dyDescent="0.35">
      <c r="A18" s="9" t="s">
        <v>37</v>
      </c>
      <c r="B18" s="9">
        <v>2</v>
      </c>
      <c r="C18" s="9" t="s">
        <v>38</v>
      </c>
      <c r="D18" s="9" t="s">
        <v>13</v>
      </c>
      <c r="E18" s="9">
        <v>2</v>
      </c>
      <c r="F18" s="9" t="str">
        <f t="shared" si="1"/>
        <v>Plastering the Brick work upto GL</v>
      </c>
      <c r="G18" s="10" t="s">
        <v>19</v>
      </c>
      <c r="H18" s="10">
        <v>0</v>
      </c>
      <c r="I18" s="12" cm="1">
        <f t="array" ref="I18">+_xlfn.IFS(G18="FS",VLOOKUP(F18,$C$4:$J$148,8,FALSE)+H18, G18="SS",VLOOKUP(F18,$C$4:$J$148,7,FALSE)+H18, G18="SS,FF",MAX(VLOOKUP(F18,$C$4:$J$148,7,FALSE)+H18,VLOOKUP(F18,$C$4:$J$148,8,FALSE)+H18-E18))</f>
        <v>45609</v>
      </c>
      <c r="J18" s="12">
        <f t="shared" si="0"/>
        <v>45611</v>
      </c>
    </row>
    <row r="19" spans="1:10" ht="42" x14ac:dyDescent="0.35">
      <c r="A19" s="9" t="s">
        <v>39</v>
      </c>
      <c r="B19" s="9">
        <v>2</v>
      </c>
      <c r="C19" s="9" t="s">
        <v>40</v>
      </c>
      <c r="D19" s="9" t="s">
        <v>13</v>
      </c>
      <c r="E19" s="9">
        <v>3</v>
      </c>
      <c r="F19" s="9" t="str">
        <f t="shared" si="1"/>
        <v>Water Proofing the Brick work upto GL</v>
      </c>
      <c r="G19" s="10" t="s">
        <v>19</v>
      </c>
      <c r="H19" s="10">
        <v>0</v>
      </c>
      <c r="I19" s="12" cm="1">
        <f t="array" ref="I19">+_xlfn.IFS(G19="FS",VLOOKUP(F19,$C$4:$J$148,8,FALSE)+H19, G19="SS",VLOOKUP(F19,$C$4:$J$148,7,FALSE)+H19, G19="SS,FF",MAX(VLOOKUP(F19,$C$4:$J$148,7,FALSE)+H19,VLOOKUP(F19,$C$4:$J$148,8,FALSE)+H19-E19))</f>
        <v>45611</v>
      </c>
      <c r="J19" s="12">
        <f t="shared" si="0"/>
        <v>45614</v>
      </c>
    </row>
    <row r="20" spans="1:10" ht="42" x14ac:dyDescent="0.35">
      <c r="A20" s="9" t="s">
        <v>41</v>
      </c>
      <c r="B20" s="9">
        <v>2</v>
      </c>
      <c r="C20" s="9" t="s">
        <v>42</v>
      </c>
      <c r="D20" s="9" t="s">
        <v>13</v>
      </c>
      <c r="E20" s="9">
        <v>3</v>
      </c>
      <c r="F20" s="9" t="str">
        <f t="shared" si="1"/>
        <v>Back Filling and Compacting</v>
      </c>
      <c r="G20" s="10" t="s">
        <v>19</v>
      </c>
      <c r="H20" s="10">
        <v>0</v>
      </c>
      <c r="I20" s="12" cm="1">
        <f t="array" ref="I20">+_xlfn.IFS(G20="FS",VLOOKUP(F20,$C$4:$J$148,8,FALSE)+H20, G20="SS",VLOOKUP(F20,$C$4:$J$148,7,FALSE)+H20, G20="SS,FF",MAX(VLOOKUP(F20,$C$4:$J$148,7,FALSE)+H20,VLOOKUP(F20,$C$4:$J$148,8,FALSE)+H20-E20))</f>
        <v>45614</v>
      </c>
      <c r="J20" s="12">
        <f t="shared" si="0"/>
        <v>45617</v>
      </c>
    </row>
    <row r="21" spans="1:10" ht="28" x14ac:dyDescent="0.35">
      <c r="A21" s="9" t="s">
        <v>43</v>
      </c>
      <c r="B21" s="9">
        <v>2</v>
      </c>
      <c r="C21" s="9" t="s">
        <v>44</v>
      </c>
      <c r="D21" s="9" t="s">
        <v>13</v>
      </c>
      <c r="E21" s="9">
        <v>2</v>
      </c>
      <c r="F21" s="9" t="str">
        <f t="shared" si="1"/>
        <v>Reinforcement for GL beams</v>
      </c>
      <c r="G21" s="10" t="s">
        <v>19</v>
      </c>
      <c r="H21" s="10">
        <v>0</v>
      </c>
      <c r="I21" s="12" cm="1">
        <f t="array" ref="I21">+_xlfn.IFS(G21="FS",VLOOKUP(F21,$C$4:$J$148,8,FALSE)+H21, G21="SS",VLOOKUP(F21,$C$4:$J$148,7,FALSE)+H21, G21="SS,FF",MAX(VLOOKUP(F21,$C$4:$J$148,7,FALSE)+H21,VLOOKUP(F21,$C$4:$J$148,8,FALSE)+H21-E21))</f>
        <v>45617</v>
      </c>
      <c r="J21" s="12">
        <f t="shared" si="0"/>
        <v>45619</v>
      </c>
    </row>
    <row r="22" spans="1:10" ht="28" x14ac:dyDescent="0.35">
      <c r="A22" s="9" t="s">
        <v>45</v>
      </c>
      <c r="B22" s="9">
        <v>2</v>
      </c>
      <c r="C22" s="9" t="s">
        <v>46</v>
      </c>
      <c r="D22" s="9" t="s">
        <v>13</v>
      </c>
      <c r="E22" s="9">
        <v>3</v>
      </c>
      <c r="F22" s="9" t="str">
        <f t="shared" si="1"/>
        <v>Shuttering for GL Beams</v>
      </c>
      <c r="G22" s="10" t="s">
        <v>19</v>
      </c>
      <c r="H22" s="10">
        <v>0</v>
      </c>
      <c r="I22" s="12" cm="1">
        <f t="array" ref="I22">+_xlfn.IFS(G22="FS",VLOOKUP(F22,$C$4:$J$148,8,FALSE)+H22, G22="SS",VLOOKUP(F22,$C$4:$J$148,7,FALSE)+H22, G22="SS,FF",MAX(VLOOKUP(F22,$C$4:$J$148,7,FALSE)+H22,VLOOKUP(F22,$C$4:$J$148,8,FALSE)+H22-E22))</f>
        <v>45619</v>
      </c>
      <c r="J22" s="12">
        <f t="shared" si="0"/>
        <v>45622</v>
      </c>
    </row>
    <row r="23" spans="1:10" ht="42" x14ac:dyDescent="0.35">
      <c r="A23" s="9" t="s">
        <v>47</v>
      </c>
      <c r="B23" s="9">
        <v>2</v>
      </c>
      <c r="C23" s="9" t="s">
        <v>48</v>
      </c>
      <c r="D23" s="9" t="s">
        <v>13</v>
      </c>
      <c r="E23" s="9">
        <v>2</v>
      </c>
      <c r="F23" s="9" t="str">
        <f t="shared" si="1"/>
        <v>RCC for GL beams</v>
      </c>
      <c r="G23" s="10" t="s">
        <v>19</v>
      </c>
      <c r="H23" s="10">
        <v>0</v>
      </c>
      <c r="I23" s="12" cm="1">
        <f t="array" ref="I23">+_xlfn.IFS(G23="FS",VLOOKUP(F23,$C$4:$J$148,8,FALSE)+H23, G23="SS",VLOOKUP(F23,$C$4:$J$148,7,FALSE)+H23, G23="SS,FF",MAX(VLOOKUP(F23,$C$4:$J$148,7,FALSE)+H23,VLOOKUP(F23,$C$4:$J$148,8,FALSE)+H23-E23))</f>
        <v>45622</v>
      </c>
      <c r="J23" s="12">
        <f t="shared" si="0"/>
        <v>45624</v>
      </c>
    </row>
    <row r="24" spans="1:10" ht="42" x14ac:dyDescent="0.35">
      <c r="A24" s="9" t="s">
        <v>49</v>
      </c>
      <c r="B24" s="9">
        <v>2</v>
      </c>
      <c r="C24" s="9" t="s">
        <v>50</v>
      </c>
      <c r="D24" s="9" t="s">
        <v>13</v>
      </c>
      <c r="E24" s="9">
        <v>4</v>
      </c>
      <c r="F24" s="9" t="str">
        <f t="shared" si="1"/>
        <v>Deshuttering for GlL beams after RCC</v>
      </c>
      <c r="G24" s="10" t="s">
        <v>19</v>
      </c>
      <c r="H24" s="10">
        <v>0</v>
      </c>
      <c r="I24" s="12" cm="1">
        <f t="array" ref="I24">+_xlfn.IFS(G24="FS",VLOOKUP(F24,$C$4:$J$148,8,FALSE)+H24, G24="SS",VLOOKUP(F24,$C$4:$J$148,7,FALSE)+H24, G24="SS,FF",MAX(VLOOKUP(F24,$C$4:$J$148,7,FALSE)+H24,VLOOKUP(F24,$C$4:$J$148,8,FALSE)+H24-E24))</f>
        <v>45624</v>
      </c>
      <c r="J24" s="12">
        <f t="shared" si="0"/>
        <v>45628</v>
      </c>
    </row>
    <row r="25" spans="1:10" ht="28" x14ac:dyDescent="0.35">
      <c r="A25" s="9" t="s">
        <v>51</v>
      </c>
      <c r="B25" s="9">
        <v>2</v>
      </c>
      <c r="C25" s="9" t="s">
        <v>52</v>
      </c>
      <c r="D25" s="9" t="s">
        <v>13</v>
      </c>
      <c r="E25" s="9">
        <v>3</v>
      </c>
      <c r="F25" s="9" t="str">
        <f t="shared" si="1"/>
        <v>PCC above GL for Plinth Slab</v>
      </c>
      <c r="G25" s="10" t="s">
        <v>19</v>
      </c>
      <c r="H25" s="10">
        <v>0</v>
      </c>
      <c r="I25" s="12" cm="1">
        <f t="array" ref="I25">+_xlfn.IFS(G25="FS",VLOOKUP(F25,$C$4:$J$148,8,FALSE)+H25, G25="SS",VLOOKUP(F25,$C$4:$J$148,7,FALSE)+H25, G25="SS,FF",MAX(VLOOKUP(F25,$C$4:$J$148,7,FALSE)+H25,VLOOKUP(F25,$C$4:$J$148,8,FALSE)+H25-E25))</f>
        <v>45628</v>
      </c>
      <c r="J25" s="12">
        <f t="shared" si="0"/>
        <v>45631</v>
      </c>
    </row>
    <row r="26" spans="1:10" ht="28" x14ac:dyDescent="0.35">
      <c r="A26" s="9" t="s">
        <v>53</v>
      </c>
      <c r="B26" s="9">
        <v>2</v>
      </c>
      <c r="C26" s="9" t="s">
        <v>54</v>
      </c>
      <c r="D26" s="9" t="s">
        <v>13</v>
      </c>
      <c r="E26" s="9">
        <v>4</v>
      </c>
      <c r="F26" s="9" t="str">
        <f t="shared" si="1"/>
        <v>Reinforcement for Plinth Slab</v>
      </c>
      <c r="G26" s="10" t="s">
        <v>19</v>
      </c>
      <c r="H26" s="10">
        <v>0</v>
      </c>
      <c r="I26" s="12" cm="1">
        <f t="array" ref="I26">+_xlfn.IFS(G26="FS",VLOOKUP(F26,$C$4:$J$148,8,FALSE)+H26, G26="SS",VLOOKUP(F26,$C$4:$J$148,7,FALSE)+H26, G26="SS,FF",MAX(VLOOKUP(F26,$C$4:$J$148,7,FALSE)+H26,VLOOKUP(F26,$C$4:$J$148,8,FALSE)+H26-E26))</f>
        <v>45631</v>
      </c>
      <c r="J26" s="12">
        <f t="shared" si="0"/>
        <v>45635</v>
      </c>
    </row>
    <row r="27" spans="1:10" ht="42" x14ac:dyDescent="0.35">
      <c r="A27" s="9" t="s">
        <v>55</v>
      </c>
      <c r="B27" s="9">
        <v>3</v>
      </c>
      <c r="C27" s="9" t="s">
        <v>56</v>
      </c>
      <c r="D27" s="9" t="s">
        <v>57</v>
      </c>
      <c r="E27" s="9">
        <v>3</v>
      </c>
      <c r="F27" s="9" t="str">
        <f t="shared" si="1"/>
        <v>RCC for Plinth Slab</v>
      </c>
      <c r="G27" s="10" t="s">
        <v>19</v>
      </c>
      <c r="H27" s="10">
        <v>0</v>
      </c>
      <c r="I27" s="12" cm="1">
        <f t="array" ref="I27">+_xlfn.IFS(G27="FS",VLOOKUP(F27,$C$4:$J$148,8,FALSE)+H27, G27="SS",VLOOKUP(F27,$C$4:$J$148,7,FALSE)+H27, G27="SS,FF",MAX(VLOOKUP(F27,$C$4:$J$148,7,FALSE)+H27,VLOOKUP(F27,$C$4:$J$148,8,FALSE)+H27-E27))</f>
        <v>45635</v>
      </c>
      <c r="J27" s="12">
        <f t="shared" si="0"/>
        <v>45638</v>
      </c>
    </row>
    <row r="28" spans="1:10" ht="56" x14ac:dyDescent="0.35">
      <c r="A28" s="9" t="s">
        <v>58</v>
      </c>
      <c r="B28" s="9">
        <v>3</v>
      </c>
      <c r="C28" s="9" t="s">
        <v>59</v>
      </c>
      <c r="D28" s="9" t="s">
        <v>57</v>
      </c>
      <c r="E28" s="9">
        <v>2</v>
      </c>
      <c r="F28" s="9" t="str">
        <f t="shared" si="1"/>
        <v>Reinforcemnt for GF Columns of ht 3mt</v>
      </c>
      <c r="G28" s="10" t="s">
        <v>19</v>
      </c>
      <c r="H28" s="10">
        <v>0</v>
      </c>
      <c r="I28" s="12" cm="1">
        <f t="array" ref="I28">+_xlfn.IFS(G28="FS",VLOOKUP(F28,$C$4:$J$148,8,FALSE)+H28, G28="SS",VLOOKUP(F28,$C$4:$J$148,7,FALSE)+H28, G28="SS,FF",MAX(VLOOKUP(F28,$C$4:$J$148,7,FALSE)+H28,VLOOKUP(F28,$C$4:$J$148,8,FALSE)+H28-E28))</f>
        <v>45638</v>
      </c>
      <c r="J28" s="12">
        <f t="shared" si="0"/>
        <v>45640</v>
      </c>
    </row>
    <row r="29" spans="1:10" ht="42" x14ac:dyDescent="0.35">
      <c r="A29" s="9" t="s">
        <v>60</v>
      </c>
      <c r="B29" s="9">
        <v>3</v>
      </c>
      <c r="C29" s="9" t="s">
        <v>61</v>
      </c>
      <c r="D29" s="9" t="s">
        <v>57</v>
      </c>
      <c r="E29" s="9">
        <v>4</v>
      </c>
      <c r="F29" s="9" t="str">
        <f t="shared" si="1"/>
        <v>Shuttering  for GF Columns of ht 3mt</v>
      </c>
      <c r="G29" s="10" t="s">
        <v>19</v>
      </c>
      <c r="H29" s="10">
        <v>0</v>
      </c>
      <c r="I29" s="12" cm="1">
        <f t="array" ref="I29">+_xlfn.IFS(G29="FS",VLOOKUP(F29,$C$4:$J$148,8,FALSE)+H29, G29="SS",VLOOKUP(F29,$C$4:$J$148,7,FALSE)+H29, G29="SS,FF",MAX(VLOOKUP(F29,$C$4:$J$148,7,FALSE)+H29,VLOOKUP(F29,$C$4:$J$148,8,FALSE)+H29-E29))</f>
        <v>45640</v>
      </c>
      <c r="J29" s="12">
        <f t="shared" si="0"/>
        <v>45644</v>
      </c>
    </row>
    <row r="30" spans="1:10" ht="42" x14ac:dyDescent="0.35">
      <c r="A30" s="9" t="s">
        <v>62</v>
      </c>
      <c r="B30" s="9">
        <v>3</v>
      </c>
      <c r="C30" s="9" t="s">
        <v>63</v>
      </c>
      <c r="D30" s="9" t="s">
        <v>57</v>
      </c>
      <c r="E30" s="9">
        <v>2</v>
      </c>
      <c r="F30" s="9" t="str">
        <f t="shared" si="1"/>
        <v>RCC for for GF Columns of ht 3mt</v>
      </c>
      <c r="G30" s="10" t="s">
        <v>19</v>
      </c>
      <c r="H30" s="10">
        <v>0</v>
      </c>
      <c r="I30" s="12" cm="1">
        <f t="array" ref="I30">+_xlfn.IFS(G30="FS",VLOOKUP(F30,$C$4:$J$148,8,FALSE)+H30, G30="SS",VLOOKUP(F30,$C$4:$J$148,7,FALSE)+H30, G30="SS,FF",MAX(VLOOKUP(F30,$C$4:$J$148,7,FALSE)+H30,VLOOKUP(F30,$C$4:$J$148,8,FALSE)+H30-E30))</f>
        <v>45644</v>
      </c>
      <c r="J30" s="12">
        <f t="shared" si="0"/>
        <v>45646</v>
      </c>
    </row>
    <row r="31" spans="1:10" ht="56" x14ac:dyDescent="0.35">
      <c r="A31" s="9" t="s">
        <v>64</v>
      </c>
      <c r="B31" s="9">
        <v>3</v>
      </c>
      <c r="C31" s="9" t="s">
        <v>65</v>
      </c>
      <c r="D31" s="9" t="s">
        <v>57</v>
      </c>
      <c r="E31" s="9">
        <v>5</v>
      </c>
      <c r="F31" s="9" t="str">
        <f t="shared" si="1"/>
        <v>Deshuttering  for GF Columns of ht 3mt</v>
      </c>
      <c r="G31" s="10" t="s">
        <v>19</v>
      </c>
      <c r="H31" s="10">
        <v>0</v>
      </c>
      <c r="I31" s="12" cm="1">
        <f t="array" ref="I31">+_xlfn.IFS(G31="FS",VLOOKUP(F31,$C$4:$J$148,8,FALSE)+H31, G31="SS",VLOOKUP(F31,$C$4:$J$148,7,FALSE)+H31, G31="SS,FF",MAX(VLOOKUP(F31,$C$4:$J$148,7,FALSE)+H31,VLOOKUP(F31,$C$4:$J$148,8,FALSE)+H31-E31))</f>
        <v>45646</v>
      </c>
      <c r="J31" s="12">
        <f t="shared" si="0"/>
        <v>45651</v>
      </c>
    </row>
    <row r="32" spans="1:10" ht="42" x14ac:dyDescent="0.35">
      <c r="A32" s="9" t="s">
        <v>66</v>
      </c>
      <c r="B32" s="9">
        <v>3</v>
      </c>
      <c r="C32" s="9" t="s">
        <v>67</v>
      </c>
      <c r="D32" s="9" t="s">
        <v>57</v>
      </c>
      <c r="E32" s="9">
        <v>3</v>
      </c>
      <c r="F32" s="9" t="str">
        <f t="shared" si="1"/>
        <v>Brick work for GF walls</v>
      </c>
      <c r="G32" s="10" t="s">
        <v>19</v>
      </c>
      <c r="H32" s="10">
        <v>0</v>
      </c>
      <c r="I32" s="12" cm="1">
        <f t="array" ref="I32">+_xlfn.IFS(G32="FS",VLOOKUP(F32,$C$4:$J$148,8,FALSE)+H32, G32="SS",VLOOKUP(F32,$C$4:$J$148,7,FALSE)+H32, G32="SS,FF",MAX(VLOOKUP(F32,$C$4:$J$148,7,FALSE)+H32,VLOOKUP(F32,$C$4:$J$148,8,FALSE)+H32-E32))</f>
        <v>45651</v>
      </c>
      <c r="J32" s="12">
        <f t="shared" si="0"/>
        <v>45654</v>
      </c>
    </row>
    <row r="33" spans="1:10" ht="42" x14ac:dyDescent="0.35">
      <c r="A33" s="9" t="s">
        <v>68</v>
      </c>
      <c r="B33" s="9">
        <v>3</v>
      </c>
      <c r="C33" s="9" t="s">
        <v>69</v>
      </c>
      <c r="D33" s="9" t="s">
        <v>57</v>
      </c>
      <c r="E33" s="9">
        <v>2</v>
      </c>
      <c r="F33" s="9" t="str">
        <f t="shared" si="1"/>
        <v>Shuttering for Staircase upto FF Slab</v>
      </c>
      <c r="G33" s="10" t="s">
        <v>19</v>
      </c>
      <c r="H33" s="10">
        <v>0</v>
      </c>
      <c r="I33" s="12" cm="1">
        <f t="array" ref="I33">+_xlfn.IFS(G33="FS",VLOOKUP(F33,$C$4:$J$148,8,FALSE)+H33, G33="SS",VLOOKUP(F33,$C$4:$J$148,7,FALSE)+H33, G33="SS,FF",MAX(VLOOKUP(F33,$C$4:$J$148,7,FALSE)+H33,VLOOKUP(F33,$C$4:$J$148,8,FALSE)+H33-E33))</f>
        <v>45654</v>
      </c>
      <c r="J33" s="12">
        <f t="shared" si="0"/>
        <v>45656</v>
      </c>
    </row>
    <row r="34" spans="1:10" ht="42" x14ac:dyDescent="0.35">
      <c r="A34" s="9" t="s">
        <v>70</v>
      </c>
      <c r="B34" s="9">
        <v>3</v>
      </c>
      <c r="C34" s="9" t="s">
        <v>71</v>
      </c>
      <c r="D34" s="9" t="s">
        <v>57</v>
      </c>
      <c r="E34" s="9">
        <v>2</v>
      </c>
      <c r="F34" s="9" t="str">
        <f t="shared" si="1"/>
        <v>Reinforcement for Staircase upto FF Slab</v>
      </c>
      <c r="G34" s="10" t="s">
        <v>19</v>
      </c>
      <c r="H34" s="10">
        <v>0</v>
      </c>
      <c r="I34" s="12" cm="1">
        <f t="array" ref="I34">+_xlfn.IFS(G34="FS",VLOOKUP(F34,$C$4:$J$148,8,FALSE)+H34, G34="SS",VLOOKUP(F34,$C$4:$J$148,7,FALSE)+H34, G34="SS,FF",MAX(VLOOKUP(F34,$C$4:$J$148,7,FALSE)+H34,VLOOKUP(F34,$C$4:$J$148,8,FALSE)+H34-E34))</f>
        <v>45656</v>
      </c>
      <c r="J34" s="12">
        <f t="shared" si="0"/>
        <v>45658</v>
      </c>
    </row>
    <row r="35" spans="1:10" ht="42" x14ac:dyDescent="0.35">
      <c r="A35" s="9" t="s">
        <v>72</v>
      </c>
      <c r="B35" s="9">
        <v>3</v>
      </c>
      <c r="C35" s="9" t="s">
        <v>73</v>
      </c>
      <c r="D35" s="9" t="s">
        <v>57</v>
      </c>
      <c r="E35" s="9">
        <v>2</v>
      </c>
      <c r="F35" s="9" t="str">
        <f t="shared" si="1"/>
        <v>RCC for Staircase upto FF Slab</v>
      </c>
      <c r="G35" s="10" t="s">
        <v>19</v>
      </c>
      <c r="H35" s="10">
        <v>0</v>
      </c>
      <c r="I35" s="12" cm="1">
        <f t="array" ref="I35">+_xlfn.IFS(G35="FS",VLOOKUP(F35,$C$4:$J$148,8,FALSE)+H35, G35="SS",VLOOKUP(F35,$C$4:$J$148,7,FALSE)+H35, G35="SS,FF",MAX(VLOOKUP(F35,$C$4:$J$148,7,FALSE)+H35,VLOOKUP(F35,$C$4:$J$148,8,FALSE)+H35-E35))</f>
        <v>45658</v>
      </c>
      <c r="J35" s="12">
        <f t="shared" si="0"/>
        <v>45660</v>
      </c>
    </row>
    <row r="36" spans="1:10" ht="42" x14ac:dyDescent="0.35">
      <c r="A36" s="9" t="s">
        <v>74</v>
      </c>
      <c r="B36" s="9">
        <v>3</v>
      </c>
      <c r="C36" s="9" t="s">
        <v>75</v>
      </c>
      <c r="D36" s="9" t="s">
        <v>57</v>
      </c>
      <c r="E36" s="9">
        <v>4</v>
      </c>
      <c r="F36" s="9" t="str">
        <f t="shared" si="1"/>
        <v>Deshuttering for Staircase upto FF Slab</v>
      </c>
      <c r="G36" s="9" t="s">
        <v>15</v>
      </c>
      <c r="H36" s="10">
        <v>2</v>
      </c>
      <c r="I36" s="12" cm="1">
        <f t="array" ref="I36">+_xlfn.IFS(G36="FS",VLOOKUP(F36,$C$4:$J$148,8,FALSE)+H36, G36="SS",VLOOKUP(F36,$C$4:$J$148,7,FALSE)+H36, G36="SS,FF",MAX(VLOOKUP(F36,$C$4:$J$148,7,FALSE)+H36,VLOOKUP(F36,$C$4:$J$148,8,FALSE)+H36-E36))</f>
        <v>45660</v>
      </c>
      <c r="J36" s="12">
        <f t="shared" si="0"/>
        <v>45664</v>
      </c>
    </row>
    <row r="37" spans="1:10" ht="42" x14ac:dyDescent="0.35">
      <c r="A37" s="9" t="s">
        <v>76</v>
      </c>
      <c r="B37" s="9">
        <v>3</v>
      </c>
      <c r="C37" s="9" t="s">
        <v>77</v>
      </c>
      <c r="D37" s="9" t="s">
        <v>57</v>
      </c>
      <c r="E37" s="9">
        <v>4</v>
      </c>
      <c r="F37" s="9" t="str">
        <f t="shared" si="1"/>
        <v>Shuttering for FF Beams and Slab</v>
      </c>
      <c r="G37" s="9" t="s">
        <v>15</v>
      </c>
      <c r="H37" s="10">
        <v>4</v>
      </c>
      <c r="I37" s="12" cm="1">
        <f t="array" ref="I37">+_xlfn.IFS(G37="FS",VLOOKUP(F37,$C$4:$J$148,8,FALSE)+H37, G37="SS",VLOOKUP(F37,$C$4:$J$148,7,FALSE)+H37, G37="SS,FF",MAX(VLOOKUP(F37,$C$4:$J$148,7,FALSE)+H37,VLOOKUP(F37,$C$4:$J$148,8,FALSE)+H37-E37))</f>
        <v>45664</v>
      </c>
      <c r="J37" s="12">
        <f t="shared" si="0"/>
        <v>45668</v>
      </c>
    </row>
    <row r="38" spans="1:10" ht="42" x14ac:dyDescent="0.35">
      <c r="A38" s="9" t="s">
        <v>78</v>
      </c>
      <c r="B38" s="9">
        <v>3</v>
      </c>
      <c r="C38" s="9" t="s">
        <v>79</v>
      </c>
      <c r="D38" s="9" t="s">
        <v>57</v>
      </c>
      <c r="E38" s="9">
        <v>4</v>
      </c>
      <c r="F38" s="9" t="str">
        <f t="shared" si="1"/>
        <v>Reinforcement for FF Beams and Slab</v>
      </c>
      <c r="G38" s="10" t="s">
        <v>19</v>
      </c>
      <c r="H38" s="10">
        <v>0</v>
      </c>
      <c r="I38" s="12" cm="1">
        <f t="array" ref="I38">+_xlfn.IFS(G38="FS",VLOOKUP(F38,$C$4:$J$148,8,FALSE)+H38, G38="SS",VLOOKUP(F38,$C$4:$J$148,7,FALSE)+H38, G38="SS,FF",MAX(VLOOKUP(F38,$C$4:$J$148,7,FALSE)+H38,VLOOKUP(F38,$C$4:$J$148,8,FALSE)+H38-E38))</f>
        <v>45668</v>
      </c>
      <c r="J38" s="12">
        <f t="shared" si="0"/>
        <v>45672</v>
      </c>
    </row>
    <row r="39" spans="1:10" ht="42" x14ac:dyDescent="0.35">
      <c r="A39" s="9" t="s">
        <v>80</v>
      </c>
      <c r="B39" s="9">
        <v>3</v>
      </c>
      <c r="C39" s="9" t="s">
        <v>81</v>
      </c>
      <c r="D39" s="9" t="s">
        <v>57</v>
      </c>
      <c r="E39" s="9">
        <v>4</v>
      </c>
      <c r="F39" s="9" t="str">
        <f t="shared" si="1"/>
        <v>RCC for FF Beams and Slab</v>
      </c>
      <c r="G39" s="10" t="s">
        <v>19</v>
      </c>
      <c r="H39" s="10">
        <v>0</v>
      </c>
      <c r="I39" s="12" cm="1">
        <f t="array" ref="I39">+_xlfn.IFS(G39="FS",VLOOKUP(F39,$C$4:$J$148,8,FALSE)+H39, G39="SS",VLOOKUP(F39,$C$4:$J$148,7,FALSE)+H39, G39="SS,FF",MAX(VLOOKUP(F39,$C$4:$J$148,7,FALSE)+H39,VLOOKUP(F39,$C$4:$J$148,8,FALSE)+H39-E39))</f>
        <v>45672</v>
      </c>
      <c r="J39" s="12">
        <f t="shared" si="0"/>
        <v>45676</v>
      </c>
    </row>
    <row r="40" spans="1:10" ht="42" x14ac:dyDescent="0.35">
      <c r="A40" s="9" t="s">
        <v>82</v>
      </c>
      <c r="B40" s="9">
        <v>4</v>
      </c>
      <c r="C40" s="9" t="s">
        <v>83</v>
      </c>
      <c r="D40" s="9" t="s">
        <v>84</v>
      </c>
      <c r="E40" s="9">
        <v>3</v>
      </c>
      <c r="F40" s="9" t="str">
        <f t="shared" si="1"/>
        <v>Deshuttering of  FF Beams and Slab</v>
      </c>
      <c r="G40" s="10" t="s">
        <v>19</v>
      </c>
      <c r="H40" s="10">
        <v>0</v>
      </c>
      <c r="I40" s="12" cm="1">
        <f t="array" ref="I40">+_xlfn.IFS(G40="FS",VLOOKUP(F40,$C$4:$J$148,8,FALSE)+H40, G40="SS",VLOOKUP(F40,$C$4:$J$148,7,FALSE)+H40, G40="SS,FF",MAX(VLOOKUP(F40,$C$4:$J$148,7,FALSE)+H40,VLOOKUP(F40,$C$4:$J$148,8,FALSE)+H40-E40))</f>
        <v>45676</v>
      </c>
      <c r="J40" s="12">
        <f t="shared" si="0"/>
        <v>45679</v>
      </c>
    </row>
    <row r="41" spans="1:10" ht="56" x14ac:dyDescent="0.35">
      <c r="A41" s="9" t="s">
        <v>85</v>
      </c>
      <c r="B41" s="9">
        <v>4</v>
      </c>
      <c r="C41" s="9" t="s">
        <v>86</v>
      </c>
      <c r="D41" s="9" t="s">
        <v>84</v>
      </c>
      <c r="E41" s="9">
        <v>2</v>
      </c>
      <c r="F41" s="9" t="str">
        <f t="shared" si="1"/>
        <v>Reinforcemnt for FF Columns of ht 3mt</v>
      </c>
      <c r="G41" s="10" t="s">
        <v>19</v>
      </c>
      <c r="H41" s="10">
        <v>0</v>
      </c>
      <c r="I41" s="12" cm="1">
        <f t="array" ref="I41">+_xlfn.IFS(G41="FS",VLOOKUP(F41,$C$4:$J$148,8,FALSE)+H41, G41="SS",VLOOKUP(F41,$C$4:$J$148,7,FALSE)+H41, G41="SS,FF",MAX(VLOOKUP(F41,$C$4:$J$148,7,FALSE)+H41,VLOOKUP(F41,$C$4:$J$148,8,FALSE)+H41-E41))</f>
        <v>45679</v>
      </c>
      <c r="J41" s="12">
        <f t="shared" si="0"/>
        <v>45681</v>
      </c>
    </row>
    <row r="42" spans="1:10" ht="42" x14ac:dyDescent="0.35">
      <c r="A42" s="9" t="s">
        <v>87</v>
      </c>
      <c r="B42" s="9">
        <v>4</v>
      </c>
      <c r="C42" s="9" t="s">
        <v>88</v>
      </c>
      <c r="D42" s="9" t="s">
        <v>84</v>
      </c>
      <c r="E42" s="9">
        <v>4</v>
      </c>
      <c r="F42" s="9" t="str">
        <f t="shared" si="1"/>
        <v>Shuttering  for FF Columns of ht 3mt</v>
      </c>
      <c r="G42" s="10" t="s">
        <v>19</v>
      </c>
      <c r="H42" s="10">
        <v>0</v>
      </c>
      <c r="I42" s="12" cm="1">
        <f t="array" ref="I42">+_xlfn.IFS(G42="FS",VLOOKUP(F42,$C$4:$J$148,8,FALSE)+H42, G42="SS",VLOOKUP(F42,$C$4:$J$148,7,FALSE)+H42, G42="SS,FF",MAX(VLOOKUP(F42,$C$4:$J$148,7,FALSE)+H42,VLOOKUP(F42,$C$4:$J$148,8,FALSE)+H42-E42))</f>
        <v>45681</v>
      </c>
      <c r="J42" s="12">
        <f t="shared" si="0"/>
        <v>45685</v>
      </c>
    </row>
    <row r="43" spans="1:10" ht="42" x14ac:dyDescent="0.35">
      <c r="A43" s="9" t="s">
        <v>89</v>
      </c>
      <c r="B43" s="9">
        <v>4</v>
      </c>
      <c r="C43" s="9" t="s">
        <v>90</v>
      </c>
      <c r="D43" s="9" t="s">
        <v>84</v>
      </c>
      <c r="E43" s="9">
        <v>2</v>
      </c>
      <c r="F43" s="9" t="str">
        <f t="shared" si="1"/>
        <v>RCC for for FF Columns of ht 3mt</v>
      </c>
      <c r="G43" s="10" t="s">
        <v>19</v>
      </c>
      <c r="H43" s="10">
        <v>0</v>
      </c>
      <c r="I43" s="12" cm="1">
        <f t="array" ref="I43">+_xlfn.IFS(G43="FS",VLOOKUP(F43,$C$4:$J$148,8,FALSE)+H43, G43="SS",VLOOKUP(F43,$C$4:$J$148,7,FALSE)+H43, G43="SS,FF",MAX(VLOOKUP(F43,$C$4:$J$148,7,FALSE)+H43,VLOOKUP(F43,$C$4:$J$148,8,FALSE)+H43-E43))</f>
        <v>45685</v>
      </c>
      <c r="J43" s="12">
        <f t="shared" si="0"/>
        <v>45687</v>
      </c>
    </row>
    <row r="44" spans="1:10" ht="56" x14ac:dyDescent="0.35">
      <c r="A44" s="9" t="s">
        <v>91</v>
      </c>
      <c r="B44" s="9">
        <v>4</v>
      </c>
      <c r="C44" s="9" t="s">
        <v>92</v>
      </c>
      <c r="D44" s="9" t="s">
        <v>84</v>
      </c>
      <c r="E44" s="9">
        <v>5</v>
      </c>
      <c r="F44" s="9" t="str">
        <f t="shared" si="1"/>
        <v>Deshuttering  for FF Columns of ht 3mt</v>
      </c>
      <c r="G44" s="10" t="s">
        <v>19</v>
      </c>
      <c r="H44" s="10">
        <v>0</v>
      </c>
      <c r="I44" s="12" cm="1">
        <f t="array" ref="I44">+_xlfn.IFS(G44="FS",VLOOKUP(F44,$C$4:$J$148,8,FALSE)+H44, G44="SS",VLOOKUP(F44,$C$4:$J$148,7,FALSE)+H44, G44="SS,FF",MAX(VLOOKUP(F44,$C$4:$J$148,7,FALSE)+H44,VLOOKUP(F44,$C$4:$J$148,8,FALSE)+H44-E44))</f>
        <v>45687</v>
      </c>
      <c r="J44" s="12">
        <f t="shared" si="0"/>
        <v>45692</v>
      </c>
    </row>
    <row r="45" spans="1:10" ht="42" x14ac:dyDescent="0.35">
      <c r="A45" s="9" t="s">
        <v>93</v>
      </c>
      <c r="B45" s="9">
        <v>4</v>
      </c>
      <c r="C45" s="9" t="s">
        <v>94</v>
      </c>
      <c r="D45" s="9" t="s">
        <v>84</v>
      </c>
      <c r="E45" s="9">
        <v>3</v>
      </c>
      <c r="F45" s="9" t="str">
        <f t="shared" si="1"/>
        <v>Brick work for FF walls</v>
      </c>
      <c r="G45" s="10" t="s">
        <v>19</v>
      </c>
      <c r="H45" s="10">
        <v>0</v>
      </c>
      <c r="I45" s="12" cm="1">
        <f t="array" ref="I45">+_xlfn.IFS(G45="FS",VLOOKUP(F45,$C$4:$J$148,8,FALSE)+H45, G45="SS",VLOOKUP(F45,$C$4:$J$148,7,FALSE)+H45, G45="SS,FF",MAX(VLOOKUP(F45,$C$4:$J$148,7,FALSE)+H45,VLOOKUP(F45,$C$4:$J$148,8,FALSE)+H45-E45))</f>
        <v>45692</v>
      </c>
      <c r="J45" s="12">
        <f t="shared" si="0"/>
        <v>45695</v>
      </c>
    </row>
    <row r="46" spans="1:10" ht="42" x14ac:dyDescent="0.35">
      <c r="A46" s="9" t="s">
        <v>95</v>
      </c>
      <c r="B46" s="9">
        <v>4</v>
      </c>
      <c r="C46" s="9" t="s">
        <v>96</v>
      </c>
      <c r="D46" s="9" t="s">
        <v>84</v>
      </c>
      <c r="E46" s="9">
        <v>2</v>
      </c>
      <c r="F46" s="9" t="str">
        <f t="shared" si="1"/>
        <v>Shuttering for Staircase upto SF Slab</v>
      </c>
      <c r="G46" s="10" t="s">
        <v>19</v>
      </c>
      <c r="H46" s="10">
        <v>0</v>
      </c>
      <c r="I46" s="12" cm="1">
        <f t="array" ref="I46">+_xlfn.IFS(G46="FS",VLOOKUP(F46,$C$4:$J$148,8,FALSE)+H46, G46="SS",VLOOKUP(F46,$C$4:$J$148,7,FALSE)+H46, G46="SS,FF",MAX(VLOOKUP(F46,$C$4:$J$148,7,FALSE)+H46,VLOOKUP(F46,$C$4:$J$148,8,FALSE)+H46-E46))</f>
        <v>45695</v>
      </c>
      <c r="J46" s="12">
        <f t="shared" si="0"/>
        <v>45697</v>
      </c>
    </row>
    <row r="47" spans="1:10" ht="42" x14ac:dyDescent="0.35">
      <c r="A47" s="9" t="s">
        <v>97</v>
      </c>
      <c r="B47" s="9">
        <v>4</v>
      </c>
      <c r="C47" s="9" t="s">
        <v>98</v>
      </c>
      <c r="D47" s="9" t="s">
        <v>84</v>
      </c>
      <c r="E47" s="9">
        <v>2</v>
      </c>
      <c r="F47" s="9" t="str">
        <f t="shared" si="1"/>
        <v>Reinforcement for Staircase upto SF Slab</v>
      </c>
      <c r="G47" s="10" t="s">
        <v>19</v>
      </c>
      <c r="H47" s="10">
        <v>0</v>
      </c>
      <c r="I47" s="12" cm="1">
        <f t="array" ref="I47">+_xlfn.IFS(G47="FS",VLOOKUP(F47,$C$4:$J$148,8,FALSE)+H47, G47="SS",VLOOKUP(F47,$C$4:$J$148,7,FALSE)+H47, G47="SS,FF",MAX(VLOOKUP(F47,$C$4:$J$148,7,FALSE)+H47,VLOOKUP(F47,$C$4:$J$148,8,FALSE)+H47-E47))</f>
        <v>45697</v>
      </c>
      <c r="J47" s="12">
        <f t="shared" si="0"/>
        <v>45699</v>
      </c>
    </row>
    <row r="48" spans="1:10" ht="42" x14ac:dyDescent="0.35">
      <c r="A48" s="9" t="s">
        <v>99</v>
      </c>
      <c r="B48" s="9">
        <v>4</v>
      </c>
      <c r="C48" s="9" t="s">
        <v>100</v>
      </c>
      <c r="D48" s="9" t="s">
        <v>84</v>
      </c>
      <c r="E48" s="9">
        <v>2</v>
      </c>
      <c r="F48" s="9" t="str">
        <f t="shared" si="1"/>
        <v>RCC for Staircase upto SF Slab</v>
      </c>
      <c r="G48" s="10" t="s">
        <v>19</v>
      </c>
      <c r="H48" s="10">
        <v>0</v>
      </c>
      <c r="I48" s="12" cm="1">
        <f t="array" ref="I48">+_xlfn.IFS(G48="FS",VLOOKUP(F48,$C$4:$J$148,8,FALSE)+H48, G48="SS",VLOOKUP(F48,$C$4:$J$148,7,FALSE)+H48, G48="SS,FF",MAX(VLOOKUP(F48,$C$4:$J$148,7,FALSE)+H48,VLOOKUP(F48,$C$4:$J$148,8,FALSE)+H48-E48))</f>
        <v>45699</v>
      </c>
      <c r="J48" s="12">
        <f t="shared" si="0"/>
        <v>45701</v>
      </c>
    </row>
    <row r="49" spans="1:10" ht="42" x14ac:dyDescent="0.35">
      <c r="A49" s="9" t="s">
        <v>101</v>
      </c>
      <c r="B49" s="9">
        <v>4</v>
      </c>
      <c r="C49" s="9" t="s">
        <v>102</v>
      </c>
      <c r="D49" s="9" t="s">
        <v>84</v>
      </c>
      <c r="E49" s="9">
        <v>4</v>
      </c>
      <c r="F49" s="9" t="str">
        <f t="shared" si="1"/>
        <v>Deshuttering for Staircase upto SF Slab</v>
      </c>
      <c r="G49" s="10" t="s">
        <v>19</v>
      </c>
      <c r="H49" s="10">
        <v>0</v>
      </c>
      <c r="I49" s="12" cm="1">
        <f t="array" ref="I49">+_xlfn.IFS(G49="FS",VLOOKUP(F49,$C$4:$J$148,8,FALSE)+H49, G49="SS",VLOOKUP(F49,$C$4:$J$148,7,FALSE)+H49, G49="SS,FF",MAX(VLOOKUP(F49,$C$4:$J$148,7,FALSE)+H49,VLOOKUP(F49,$C$4:$J$148,8,FALSE)+H49-E49))</f>
        <v>45701</v>
      </c>
      <c r="J49" s="12">
        <f t="shared" si="0"/>
        <v>45705</v>
      </c>
    </row>
    <row r="50" spans="1:10" ht="42" x14ac:dyDescent="0.35">
      <c r="A50" s="9" t="s">
        <v>103</v>
      </c>
      <c r="B50" s="9">
        <v>4</v>
      </c>
      <c r="C50" s="9" t="s">
        <v>104</v>
      </c>
      <c r="D50" s="9" t="s">
        <v>84</v>
      </c>
      <c r="E50" s="9">
        <v>4</v>
      </c>
      <c r="F50" s="9" t="str">
        <f t="shared" si="1"/>
        <v>Shuttering for SF Beams and Slab</v>
      </c>
      <c r="G50" s="10" t="s">
        <v>19</v>
      </c>
      <c r="H50" s="10">
        <v>0</v>
      </c>
      <c r="I50" s="12" cm="1">
        <f t="array" ref="I50">+_xlfn.IFS(G50="FS",VLOOKUP(F50,$C$4:$J$148,8,FALSE)+H50, G50="SS",VLOOKUP(F50,$C$4:$J$148,7,FALSE)+H50, G50="SS,FF",MAX(VLOOKUP(F50,$C$4:$J$148,7,FALSE)+H50,VLOOKUP(F50,$C$4:$J$148,8,FALSE)+H50-E50))</f>
        <v>45705</v>
      </c>
      <c r="J50" s="12">
        <f t="shared" si="0"/>
        <v>45709</v>
      </c>
    </row>
    <row r="51" spans="1:10" ht="42" x14ac:dyDescent="0.35">
      <c r="A51" s="9" t="s">
        <v>105</v>
      </c>
      <c r="B51" s="9">
        <v>4</v>
      </c>
      <c r="C51" s="9" t="s">
        <v>106</v>
      </c>
      <c r="D51" s="9" t="s">
        <v>84</v>
      </c>
      <c r="E51" s="9">
        <v>4</v>
      </c>
      <c r="F51" s="9" t="str">
        <f t="shared" si="1"/>
        <v>Reinforcement for SF Beams and Slab</v>
      </c>
      <c r="G51" s="10" t="s">
        <v>19</v>
      </c>
      <c r="H51" s="10">
        <v>0</v>
      </c>
      <c r="I51" s="12" cm="1">
        <f t="array" ref="I51">+_xlfn.IFS(G51="FS",VLOOKUP(F51,$C$4:$J$148,8,FALSE)+H51, G51="SS",VLOOKUP(F51,$C$4:$J$148,7,FALSE)+H51, G51="SS,FF",MAX(VLOOKUP(F51,$C$4:$J$148,7,FALSE)+H51,VLOOKUP(F51,$C$4:$J$148,8,FALSE)+H51-E51))</f>
        <v>45709</v>
      </c>
      <c r="J51" s="12">
        <f t="shared" si="0"/>
        <v>45713</v>
      </c>
    </row>
    <row r="52" spans="1:10" ht="42" x14ac:dyDescent="0.35">
      <c r="A52" s="9" t="s">
        <v>107</v>
      </c>
      <c r="B52" s="9">
        <v>4</v>
      </c>
      <c r="C52" s="9" t="s">
        <v>108</v>
      </c>
      <c r="D52" s="9" t="s">
        <v>84</v>
      </c>
      <c r="E52" s="9">
        <v>4</v>
      </c>
      <c r="F52" s="9" t="str">
        <f t="shared" si="1"/>
        <v>RCC for SF Beams and Slab</v>
      </c>
      <c r="G52" s="10" t="s">
        <v>19</v>
      </c>
      <c r="H52" s="10">
        <v>0</v>
      </c>
      <c r="I52" s="12" cm="1">
        <f t="array" ref="I52">+_xlfn.IFS(G52="FS",VLOOKUP(F52,$C$4:$J$148,8,FALSE)+H52, G52="SS",VLOOKUP(F52,$C$4:$J$148,7,FALSE)+H52, G52="SS,FF",MAX(VLOOKUP(F52,$C$4:$J$148,7,FALSE)+H52,VLOOKUP(F52,$C$4:$J$148,8,FALSE)+H52-E52))</f>
        <v>45713</v>
      </c>
      <c r="J52" s="12">
        <f t="shared" si="0"/>
        <v>45717</v>
      </c>
    </row>
    <row r="53" spans="1:10" ht="42" x14ac:dyDescent="0.35">
      <c r="A53" s="9" t="s">
        <v>109</v>
      </c>
      <c r="B53" s="9">
        <v>5</v>
      </c>
      <c r="C53" s="9" t="s">
        <v>110</v>
      </c>
      <c r="D53" s="9" t="s">
        <v>111</v>
      </c>
      <c r="E53" s="9">
        <v>3</v>
      </c>
      <c r="F53" s="9" t="str">
        <f t="shared" si="1"/>
        <v>Deshuttering of  SF Beams and Slab</v>
      </c>
      <c r="G53" s="10" t="s">
        <v>19</v>
      </c>
      <c r="H53" s="10">
        <v>0</v>
      </c>
      <c r="I53" s="12" cm="1">
        <f t="array" ref="I53">+_xlfn.IFS(G53="FS",VLOOKUP(F53,$C$4:$J$148,8,FALSE)+H53, G53="SS",VLOOKUP(F53,$C$4:$J$148,7,FALSE)+H53, G53="SS,FF",MAX(VLOOKUP(F53,$C$4:$J$148,7,FALSE)+H53,VLOOKUP(F53,$C$4:$J$148,8,FALSE)+H53-E53))</f>
        <v>45717</v>
      </c>
      <c r="J53" s="12">
        <f t="shared" si="0"/>
        <v>45720</v>
      </c>
    </row>
    <row r="54" spans="1:10" ht="56" x14ac:dyDescent="0.35">
      <c r="A54" s="9" t="s">
        <v>112</v>
      </c>
      <c r="B54" s="9">
        <v>5</v>
      </c>
      <c r="C54" s="9" t="s">
        <v>113</v>
      </c>
      <c r="D54" s="9" t="s">
        <v>111</v>
      </c>
      <c r="E54" s="9">
        <v>2</v>
      </c>
      <c r="F54" s="9" t="str">
        <f t="shared" si="1"/>
        <v>Reinforcemnt for SF Columns of ht 3mt</v>
      </c>
      <c r="G54" s="10" t="s">
        <v>19</v>
      </c>
      <c r="H54" s="10">
        <v>0</v>
      </c>
      <c r="I54" s="12" cm="1">
        <f t="array" ref="I54">+_xlfn.IFS(G54="FS",VLOOKUP(F54,$C$4:$J$148,8,FALSE)+H54, G54="SS",VLOOKUP(F54,$C$4:$J$148,7,FALSE)+H54, G54="SS,FF",MAX(VLOOKUP(F54,$C$4:$J$148,7,FALSE)+H54,VLOOKUP(F54,$C$4:$J$148,8,FALSE)+H54-E54))</f>
        <v>45720</v>
      </c>
      <c r="J54" s="12">
        <f t="shared" si="0"/>
        <v>45722</v>
      </c>
    </row>
    <row r="55" spans="1:10" ht="42" x14ac:dyDescent="0.35">
      <c r="A55" s="9" t="s">
        <v>114</v>
      </c>
      <c r="B55" s="9">
        <v>5</v>
      </c>
      <c r="C55" s="9" t="s">
        <v>115</v>
      </c>
      <c r="D55" s="9" t="s">
        <v>111</v>
      </c>
      <c r="E55" s="9">
        <v>4</v>
      </c>
      <c r="F55" s="9" t="str">
        <f t="shared" si="1"/>
        <v>Shuttering  for SF Columns of ht 3mt</v>
      </c>
      <c r="G55" s="10" t="s">
        <v>19</v>
      </c>
      <c r="H55" s="10">
        <v>0</v>
      </c>
      <c r="I55" s="12" cm="1">
        <f t="array" ref="I55">+_xlfn.IFS(G55="FS",VLOOKUP(F55,$C$4:$J$148,8,FALSE)+H55, G55="SS",VLOOKUP(F55,$C$4:$J$148,7,FALSE)+H55, G55="SS,FF",MAX(VLOOKUP(F55,$C$4:$J$148,7,FALSE)+H55,VLOOKUP(F55,$C$4:$J$148,8,FALSE)+H55-E55))</f>
        <v>45722</v>
      </c>
      <c r="J55" s="12">
        <f t="shared" si="0"/>
        <v>45726</v>
      </c>
    </row>
    <row r="56" spans="1:10" ht="42" x14ac:dyDescent="0.35">
      <c r="A56" s="9" t="s">
        <v>116</v>
      </c>
      <c r="B56" s="9">
        <v>5</v>
      </c>
      <c r="C56" s="9" t="s">
        <v>117</v>
      </c>
      <c r="D56" s="9" t="s">
        <v>111</v>
      </c>
      <c r="E56" s="9">
        <v>2</v>
      </c>
      <c r="F56" s="9" t="str">
        <f t="shared" si="1"/>
        <v>RCC for for SF Columns of ht 3mt</v>
      </c>
      <c r="G56" s="10" t="s">
        <v>19</v>
      </c>
      <c r="H56" s="10">
        <v>0</v>
      </c>
      <c r="I56" s="12" cm="1">
        <f t="array" ref="I56">+_xlfn.IFS(G56="FS",VLOOKUP(F56,$C$4:$J$148,8,FALSE)+H56, G56="SS",VLOOKUP(F56,$C$4:$J$148,7,FALSE)+H56, G56="SS,FF",MAX(VLOOKUP(F56,$C$4:$J$148,7,FALSE)+H56,VLOOKUP(F56,$C$4:$J$148,8,FALSE)+H56-E56))</f>
        <v>45726</v>
      </c>
      <c r="J56" s="12">
        <f t="shared" si="0"/>
        <v>45728</v>
      </c>
    </row>
    <row r="57" spans="1:10" ht="56" x14ac:dyDescent="0.35">
      <c r="A57" s="9" t="s">
        <v>118</v>
      </c>
      <c r="B57" s="9">
        <v>5</v>
      </c>
      <c r="C57" s="9" t="s">
        <v>119</v>
      </c>
      <c r="D57" s="9" t="s">
        <v>111</v>
      </c>
      <c r="E57" s="9">
        <v>5</v>
      </c>
      <c r="F57" s="9" t="str">
        <f t="shared" si="1"/>
        <v>Deshuttering  for SF Columns of ht 3mt</v>
      </c>
      <c r="G57" s="10" t="s">
        <v>19</v>
      </c>
      <c r="H57" s="10">
        <v>0</v>
      </c>
      <c r="I57" s="12" cm="1">
        <f t="array" ref="I57">+_xlfn.IFS(G57="FS",VLOOKUP(F57,$C$4:$J$148,8,FALSE)+H57, G57="SS",VLOOKUP(F57,$C$4:$J$148,7,FALSE)+H57, G57="SS,FF",MAX(VLOOKUP(F57,$C$4:$J$148,7,FALSE)+H57,VLOOKUP(F57,$C$4:$J$148,8,FALSE)+H57-E57))</f>
        <v>45728</v>
      </c>
      <c r="J57" s="12">
        <f t="shared" si="0"/>
        <v>45733</v>
      </c>
    </row>
    <row r="58" spans="1:10" ht="42" x14ac:dyDescent="0.35">
      <c r="A58" s="9" t="s">
        <v>120</v>
      </c>
      <c r="B58" s="9">
        <v>5</v>
      </c>
      <c r="C58" s="9" t="s">
        <v>121</v>
      </c>
      <c r="D58" s="9" t="s">
        <v>111</v>
      </c>
      <c r="E58" s="9">
        <v>3</v>
      </c>
      <c r="F58" s="9" t="str">
        <f t="shared" si="1"/>
        <v>Brick work for SF walls</v>
      </c>
      <c r="G58" s="10" t="s">
        <v>19</v>
      </c>
      <c r="H58" s="10">
        <v>0</v>
      </c>
      <c r="I58" s="12" cm="1">
        <f t="array" ref="I58">+_xlfn.IFS(G58="FS",VLOOKUP(F58,$C$4:$J$148,8,FALSE)+H58, G58="SS",VLOOKUP(F58,$C$4:$J$148,7,FALSE)+H58, G58="SS,FF",MAX(VLOOKUP(F58,$C$4:$J$148,7,FALSE)+H58,VLOOKUP(F58,$C$4:$J$148,8,FALSE)+H58-E58))</f>
        <v>45733</v>
      </c>
      <c r="J58" s="12">
        <f t="shared" si="0"/>
        <v>45736</v>
      </c>
    </row>
    <row r="59" spans="1:10" ht="56" x14ac:dyDescent="0.35">
      <c r="A59" s="9" t="s">
        <v>122</v>
      </c>
      <c r="B59" s="9">
        <v>5</v>
      </c>
      <c r="C59" s="9" t="s">
        <v>123</v>
      </c>
      <c r="D59" s="9" t="s">
        <v>111</v>
      </c>
      <c r="E59" s="9">
        <v>2</v>
      </c>
      <c r="F59" s="9" t="str">
        <f t="shared" si="1"/>
        <v>Shuttering for Staircase upto Terrace Slab</v>
      </c>
      <c r="G59" s="10" t="s">
        <v>19</v>
      </c>
      <c r="H59" s="10">
        <v>0</v>
      </c>
      <c r="I59" s="12" cm="1">
        <f t="array" ref="I59">+_xlfn.IFS(G59="FS",VLOOKUP(F59,$C$4:$J$148,8,FALSE)+H59, G59="SS",VLOOKUP(F59,$C$4:$J$148,7,FALSE)+H59, G59="SS,FF",MAX(VLOOKUP(F59,$C$4:$J$148,7,FALSE)+H59,VLOOKUP(F59,$C$4:$J$148,8,FALSE)+H59-E59))</f>
        <v>45736</v>
      </c>
      <c r="J59" s="12">
        <f t="shared" si="0"/>
        <v>45738</v>
      </c>
    </row>
    <row r="60" spans="1:10" ht="56" x14ac:dyDescent="0.35">
      <c r="A60" s="9" t="s">
        <v>124</v>
      </c>
      <c r="B60" s="9">
        <v>5</v>
      </c>
      <c r="C60" s="9" t="s">
        <v>125</v>
      </c>
      <c r="D60" s="9" t="s">
        <v>111</v>
      </c>
      <c r="E60" s="9">
        <v>2</v>
      </c>
      <c r="F60" s="9" t="str">
        <f t="shared" si="1"/>
        <v>Reinforcement for Staircase upto Terrace Slab</v>
      </c>
      <c r="G60" s="10" t="s">
        <v>19</v>
      </c>
      <c r="H60" s="10">
        <v>0</v>
      </c>
      <c r="I60" s="12" cm="1">
        <f t="array" ref="I60">+_xlfn.IFS(G60="FS",VLOOKUP(F60,$C$4:$J$148,8,FALSE)+H60, G60="SS",VLOOKUP(F60,$C$4:$J$148,7,FALSE)+H60, G60="SS,FF",MAX(VLOOKUP(F60,$C$4:$J$148,7,FALSE)+H60,VLOOKUP(F60,$C$4:$J$148,8,FALSE)+H60-E60))</f>
        <v>45738</v>
      </c>
      <c r="J60" s="12">
        <f t="shared" si="0"/>
        <v>45740</v>
      </c>
    </row>
    <row r="61" spans="1:10" ht="42" x14ac:dyDescent="0.35">
      <c r="A61" s="9" t="s">
        <v>126</v>
      </c>
      <c r="B61" s="9">
        <v>5</v>
      </c>
      <c r="C61" s="9" t="s">
        <v>127</v>
      </c>
      <c r="D61" s="9" t="s">
        <v>111</v>
      </c>
      <c r="E61" s="9">
        <v>2</v>
      </c>
      <c r="F61" s="9" t="str">
        <f t="shared" si="1"/>
        <v>RCC for Staircase upto Terrace Slab</v>
      </c>
      <c r="G61" s="10" t="s">
        <v>19</v>
      </c>
      <c r="H61" s="10">
        <v>0</v>
      </c>
      <c r="I61" s="12" cm="1">
        <f t="array" ref="I61">+_xlfn.IFS(G61="FS",VLOOKUP(F61,$C$4:$J$148,8,FALSE)+H61, G61="SS",VLOOKUP(F61,$C$4:$J$148,7,FALSE)+H61, G61="SS,FF",MAX(VLOOKUP(F61,$C$4:$J$148,7,FALSE)+H61,VLOOKUP(F61,$C$4:$J$148,8,FALSE)+H61-E61))</f>
        <v>45740</v>
      </c>
      <c r="J61" s="12">
        <f t="shared" si="0"/>
        <v>45742</v>
      </c>
    </row>
    <row r="62" spans="1:10" ht="56" x14ac:dyDescent="0.35">
      <c r="A62" s="9" t="s">
        <v>128</v>
      </c>
      <c r="B62" s="9">
        <v>5</v>
      </c>
      <c r="C62" s="9" t="s">
        <v>129</v>
      </c>
      <c r="D62" s="9" t="s">
        <v>111</v>
      </c>
      <c r="E62" s="9">
        <v>4</v>
      </c>
      <c r="F62" s="9" t="str">
        <f t="shared" si="1"/>
        <v>Deshuttering for Staircase upto Terrace Slab</v>
      </c>
      <c r="G62" s="9" t="s">
        <v>15</v>
      </c>
      <c r="H62" s="10">
        <v>3</v>
      </c>
      <c r="I62" s="12" cm="1">
        <f t="array" ref="I62">+_xlfn.IFS(G62="FS",VLOOKUP(F62,$C$4:$J$148,8,FALSE)+H62, G62="SS",VLOOKUP(F62,$C$4:$J$148,7,FALSE)+H62, G62="SS,FF",MAX(VLOOKUP(F62,$C$4:$J$148,7,FALSE)+H62,VLOOKUP(F62,$C$4:$J$148,8,FALSE)+H62-E62))</f>
        <v>45743</v>
      </c>
      <c r="J62" s="12">
        <f t="shared" si="0"/>
        <v>45747</v>
      </c>
    </row>
    <row r="63" spans="1:10" ht="42" x14ac:dyDescent="0.35">
      <c r="A63" s="9" t="s">
        <v>130</v>
      </c>
      <c r="B63" s="9">
        <v>5</v>
      </c>
      <c r="C63" s="9" t="s">
        <v>131</v>
      </c>
      <c r="D63" s="9" t="s">
        <v>111</v>
      </c>
      <c r="E63" s="9">
        <v>4</v>
      </c>
      <c r="F63" s="9" t="str">
        <f t="shared" si="1"/>
        <v>Shuttering for Terrace Beams and Slab</v>
      </c>
      <c r="G63" s="9" t="s">
        <v>15</v>
      </c>
      <c r="H63" s="10">
        <v>5</v>
      </c>
      <c r="I63" s="12" cm="1">
        <f t="array" ref="I63">+_xlfn.IFS(G63="FS",VLOOKUP(F63,$C$4:$J$148,8,FALSE)+H63, G63="SS",VLOOKUP(F63,$C$4:$J$148,7,FALSE)+H63, G63="SS,FF",MAX(VLOOKUP(F63,$C$4:$J$148,7,FALSE)+H63,VLOOKUP(F63,$C$4:$J$148,8,FALSE)+H63-E63))</f>
        <v>45748</v>
      </c>
      <c r="J63" s="12">
        <f t="shared" si="0"/>
        <v>45752</v>
      </c>
    </row>
    <row r="64" spans="1:10" ht="56" x14ac:dyDescent="0.35">
      <c r="A64" s="9" t="s">
        <v>132</v>
      </c>
      <c r="B64" s="9">
        <v>5</v>
      </c>
      <c r="C64" s="9" t="s">
        <v>133</v>
      </c>
      <c r="D64" s="9" t="s">
        <v>111</v>
      </c>
      <c r="E64" s="9">
        <v>4</v>
      </c>
      <c r="F64" s="9" t="str">
        <f t="shared" si="1"/>
        <v>Reinforcement for Terrace Beams and Slab</v>
      </c>
      <c r="G64" s="10" t="s">
        <v>19</v>
      </c>
      <c r="H64" s="10">
        <v>0</v>
      </c>
      <c r="I64" s="12" cm="1">
        <f t="array" ref="I64">+_xlfn.IFS(G64="FS",VLOOKUP(F64,$C$4:$J$148,8,FALSE)+H64, G64="SS",VLOOKUP(F64,$C$4:$J$148,7,FALSE)+H64, G64="SS,FF",MAX(VLOOKUP(F64,$C$4:$J$148,7,FALSE)+H64,VLOOKUP(F64,$C$4:$J$148,8,FALSE)+H64-E64))</f>
        <v>45752</v>
      </c>
      <c r="J64" s="12">
        <f t="shared" si="0"/>
        <v>45756</v>
      </c>
    </row>
    <row r="65" spans="1:10" ht="42" x14ac:dyDescent="0.35">
      <c r="A65" s="9" t="s">
        <v>134</v>
      </c>
      <c r="B65" s="9">
        <v>5</v>
      </c>
      <c r="C65" s="9" t="s">
        <v>135</v>
      </c>
      <c r="D65" s="9" t="s">
        <v>111</v>
      </c>
      <c r="E65" s="9">
        <v>4</v>
      </c>
      <c r="F65" s="9" t="str">
        <f t="shared" si="1"/>
        <v>RCC for Terrace Beams and Slab</v>
      </c>
      <c r="G65" s="10" t="s">
        <v>19</v>
      </c>
      <c r="H65" s="10">
        <v>0</v>
      </c>
      <c r="I65" s="12" cm="1">
        <f t="array" ref="I65">+_xlfn.IFS(G65="FS",VLOOKUP(F65,$C$4:$J$148,8,FALSE)+H65, G65="SS",VLOOKUP(F65,$C$4:$J$148,7,FALSE)+H65, G65="SS,FF",MAX(VLOOKUP(F65,$C$4:$J$148,7,FALSE)+H65,VLOOKUP(F65,$C$4:$J$148,8,FALSE)+H65-E65))</f>
        <v>45756</v>
      </c>
      <c r="J65" s="12">
        <f t="shared" si="0"/>
        <v>45760</v>
      </c>
    </row>
    <row r="66" spans="1:10" ht="56" x14ac:dyDescent="0.35">
      <c r="A66" s="9" t="s">
        <v>136</v>
      </c>
      <c r="B66" s="9">
        <v>6</v>
      </c>
      <c r="C66" s="9" t="s">
        <v>137</v>
      </c>
      <c r="D66" s="9" t="s">
        <v>138</v>
      </c>
      <c r="E66" s="9">
        <v>2</v>
      </c>
      <c r="F66" s="9" t="str">
        <f t="shared" si="1"/>
        <v>Deshuttering of  Terrace Beams and Slab</v>
      </c>
      <c r="G66" s="10" t="s">
        <v>19</v>
      </c>
      <c r="H66" s="10">
        <v>0</v>
      </c>
      <c r="I66" s="12" cm="1">
        <f t="array" ref="I66">+_xlfn.IFS(G66="FS",VLOOKUP(F66,$C$4:$J$148,8,FALSE)+H66, G66="SS",VLOOKUP(F66,$C$4:$J$148,7,FALSE)+H66, G66="SS,FF",MAX(VLOOKUP(F66,$C$4:$J$148,7,FALSE)+H66,VLOOKUP(F66,$C$4:$J$148,8,FALSE)+H66-E66))</f>
        <v>45760</v>
      </c>
      <c r="J66" s="12">
        <f t="shared" si="0"/>
        <v>45762</v>
      </c>
    </row>
    <row r="67" spans="1:10" ht="56" x14ac:dyDescent="0.35">
      <c r="A67" s="9" t="s">
        <v>139</v>
      </c>
      <c r="B67" s="9">
        <v>6</v>
      </c>
      <c r="C67" s="9" t="s">
        <v>140</v>
      </c>
      <c r="D67" s="9" t="s">
        <v>138</v>
      </c>
      <c r="E67" s="9">
        <v>1</v>
      </c>
      <c r="F67" s="9" t="str">
        <f t="shared" si="1"/>
        <v>Reinforcemnt for Terrace Columns of ht 1mt</v>
      </c>
      <c r="G67" s="10" t="s">
        <v>19</v>
      </c>
      <c r="H67" s="10">
        <v>0</v>
      </c>
      <c r="I67" s="12" cm="1">
        <f t="array" ref="I67">+_xlfn.IFS(G67="FS",VLOOKUP(F67,$C$4:$J$148,8,FALSE)+H67, G67="SS",VLOOKUP(F67,$C$4:$J$148,7,FALSE)+H67, G67="SS,FF",MAX(VLOOKUP(F67,$C$4:$J$148,7,FALSE)+H67,VLOOKUP(F67,$C$4:$J$148,8,FALSE)+H67-E67))</f>
        <v>45762</v>
      </c>
      <c r="J67" s="12">
        <f t="shared" si="0"/>
        <v>45763</v>
      </c>
    </row>
    <row r="68" spans="1:10" ht="56" x14ac:dyDescent="0.35">
      <c r="A68" s="9" t="s">
        <v>141</v>
      </c>
      <c r="B68" s="9">
        <v>6</v>
      </c>
      <c r="C68" s="9" t="s">
        <v>142</v>
      </c>
      <c r="D68" s="9" t="s">
        <v>138</v>
      </c>
      <c r="E68" s="9">
        <v>2</v>
      </c>
      <c r="F68" s="9" t="str">
        <f t="shared" si="1"/>
        <v>Shuttering  for Terrace Columns of ht 1mt</v>
      </c>
      <c r="G68" s="10" t="s">
        <v>19</v>
      </c>
      <c r="H68" s="10">
        <v>0</v>
      </c>
      <c r="I68" s="12" cm="1">
        <f t="array" ref="I68">+_xlfn.IFS(G68="FS",VLOOKUP(F68,$C$4:$J$148,8,FALSE)+H68, G68="SS",VLOOKUP(F68,$C$4:$J$148,7,FALSE)+H68, G68="SS,FF",MAX(VLOOKUP(F68,$C$4:$J$148,7,FALSE)+H68,VLOOKUP(F68,$C$4:$J$148,8,FALSE)+H68-E68))</f>
        <v>45763</v>
      </c>
      <c r="J68" s="12">
        <f t="shared" ref="J68:J89" si="2">I68+E68</f>
        <v>45765</v>
      </c>
    </row>
    <row r="69" spans="1:10" ht="56" x14ac:dyDescent="0.35">
      <c r="A69" s="9" t="s">
        <v>143</v>
      </c>
      <c r="B69" s="9">
        <v>6</v>
      </c>
      <c r="C69" s="9" t="s">
        <v>144</v>
      </c>
      <c r="D69" s="9" t="s">
        <v>138</v>
      </c>
      <c r="E69" s="9">
        <v>1</v>
      </c>
      <c r="F69" s="9" t="str">
        <f t="shared" ref="F69:F84" si="3">+C68</f>
        <v>RCC for for Terrace Columns of ht 1mt</v>
      </c>
      <c r="G69" s="10" t="s">
        <v>19</v>
      </c>
      <c r="H69" s="10">
        <v>0</v>
      </c>
      <c r="I69" s="12" cm="1">
        <f t="array" ref="I69">+_xlfn.IFS(G69="FS",VLOOKUP(F69,$C$4:$J$148,8,FALSE)+H69, G69="SS",VLOOKUP(F69,$C$4:$J$148,7,FALSE)+H69, G69="SS,FF",MAX(VLOOKUP(F69,$C$4:$J$148,7,FALSE)+H69,VLOOKUP(F69,$C$4:$J$148,8,FALSE)+H69-E69))</f>
        <v>45765</v>
      </c>
      <c r="J69" s="12">
        <f t="shared" si="2"/>
        <v>45766</v>
      </c>
    </row>
    <row r="70" spans="1:10" ht="56" x14ac:dyDescent="0.35">
      <c r="A70" s="9" t="s">
        <v>145</v>
      </c>
      <c r="B70" s="9">
        <v>6</v>
      </c>
      <c r="C70" s="9" t="s">
        <v>146</v>
      </c>
      <c r="D70" s="9" t="s">
        <v>138</v>
      </c>
      <c r="E70" s="9">
        <v>3</v>
      </c>
      <c r="F70" s="9" t="str">
        <f t="shared" si="3"/>
        <v>Deshuttering  for Terrace Columns of ht 1mt</v>
      </c>
      <c r="G70" s="10" t="s">
        <v>19</v>
      </c>
      <c r="H70" s="10">
        <v>0</v>
      </c>
      <c r="I70" s="12" cm="1">
        <f t="array" ref="I70">+_xlfn.IFS(G70="FS",VLOOKUP(F70,$C$4:$J$148,8,FALSE)+H70, G70="SS",VLOOKUP(F70,$C$4:$J$148,7,FALSE)+H70, G70="SS,FF",MAX(VLOOKUP(F70,$C$4:$J$148,7,FALSE)+H70,VLOOKUP(F70,$C$4:$J$148,8,FALSE)+H70-E70))</f>
        <v>45766</v>
      </c>
      <c r="J70" s="12">
        <f t="shared" si="2"/>
        <v>45769</v>
      </c>
    </row>
    <row r="71" spans="1:10" ht="70" x14ac:dyDescent="0.35">
      <c r="A71" s="9" t="s">
        <v>147</v>
      </c>
      <c r="B71" s="9">
        <v>7</v>
      </c>
      <c r="C71" s="9" t="s">
        <v>148</v>
      </c>
      <c r="D71" s="9" t="s">
        <v>149</v>
      </c>
      <c r="E71" s="9">
        <v>4</v>
      </c>
      <c r="F71" s="9" t="str">
        <f t="shared" si="3"/>
        <v>Brick work for Terrace parapet Wall</v>
      </c>
      <c r="G71" s="10" t="s">
        <v>19</v>
      </c>
      <c r="H71" s="10">
        <v>0</v>
      </c>
      <c r="I71" s="12" cm="1">
        <f t="array" ref="I71">+_xlfn.IFS(G71="FS",VLOOKUP(F71,$C$4:$J$148,8,FALSE)+H71, G71="SS",VLOOKUP(F71,$C$4:$J$148,7,FALSE)+H71, G71="SS,FF",MAX(VLOOKUP(F71,$C$4:$J$148,7,FALSE)+H71,VLOOKUP(F71,$C$4:$J$148,8,FALSE)+H71-E71))</f>
        <v>45769</v>
      </c>
      <c r="J71" s="12">
        <f t="shared" si="2"/>
        <v>45773</v>
      </c>
    </row>
    <row r="72" spans="1:10" ht="70" x14ac:dyDescent="0.35">
      <c r="A72" s="9" t="s">
        <v>150</v>
      </c>
      <c r="B72" s="9">
        <v>7</v>
      </c>
      <c r="C72" s="9" t="s">
        <v>151</v>
      </c>
      <c r="D72" s="9" t="s">
        <v>149</v>
      </c>
      <c r="E72" s="9">
        <v>4</v>
      </c>
      <c r="F72" s="9" t="str">
        <f t="shared" si="3"/>
        <v>Plastering for GF Walls, Columns, Beams and Slabs</v>
      </c>
      <c r="G72" s="10" t="s">
        <v>19</v>
      </c>
      <c r="H72" s="10">
        <v>0</v>
      </c>
      <c r="I72" s="12" cm="1">
        <f t="array" ref="I72">+_xlfn.IFS(G72="FS",VLOOKUP(F72,$C$4:$J$148,8,FALSE)+H72, G72="SS",VLOOKUP(F72,$C$4:$J$148,7,FALSE)+H72, G72="SS,FF",MAX(VLOOKUP(F72,$C$4:$J$148,7,FALSE)+H72,VLOOKUP(F72,$C$4:$J$148,8,FALSE)+H72-E72))</f>
        <v>45773</v>
      </c>
      <c r="J72" s="12">
        <f t="shared" si="2"/>
        <v>45777</v>
      </c>
    </row>
    <row r="73" spans="1:10" ht="70" x14ac:dyDescent="0.35">
      <c r="A73" s="9" t="s">
        <v>152</v>
      </c>
      <c r="B73" s="9">
        <v>7</v>
      </c>
      <c r="C73" s="9" t="s">
        <v>153</v>
      </c>
      <c r="D73" s="9" t="s">
        <v>149</v>
      </c>
      <c r="E73" s="9">
        <v>4</v>
      </c>
      <c r="F73" s="9" t="str">
        <f t="shared" si="3"/>
        <v>Plastering for FF Walls, Columns, Beams and Slabs</v>
      </c>
      <c r="G73" s="10" t="s">
        <v>19</v>
      </c>
      <c r="H73" s="10">
        <v>0</v>
      </c>
      <c r="I73" s="12" cm="1">
        <f t="array" ref="I73">+_xlfn.IFS(G73="FS",VLOOKUP(F73,$C$4:$J$148,8,FALSE)+H73, G73="SS",VLOOKUP(F73,$C$4:$J$148,7,FALSE)+H73, G73="SS,FF",MAX(VLOOKUP(F73,$C$4:$J$148,7,FALSE)+H73,VLOOKUP(F73,$C$4:$J$148,8,FALSE)+H73-E73))</f>
        <v>45777</v>
      </c>
      <c r="J73" s="12">
        <f t="shared" si="2"/>
        <v>45781</v>
      </c>
    </row>
    <row r="74" spans="1:10" ht="70" x14ac:dyDescent="0.35">
      <c r="A74" s="9" t="s">
        <v>154</v>
      </c>
      <c r="B74" s="9">
        <v>7</v>
      </c>
      <c r="C74" s="9" t="s">
        <v>155</v>
      </c>
      <c r="D74" s="9" t="s">
        <v>149</v>
      </c>
      <c r="E74" s="9">
        <v>3</v>
      </c>
      <c r="F74" s="9" t="str">
        <f t="shared" si="3"/>
        <v>Plastering for SF Walls, Columns, Beams and Slabs</v>
      </c>
      <c r="G74" s="10" t="s">
        <v>19</v>
      </c>
      <c r="H74" s="10">
        <v>0</v>
      </c>
      <c r="I74" s="12" cm="1">
        <f t="array" ref="I74">+_xlfn.IFS(G74="FS",VLOOKUP(F74,$C$4:$J$148,8,FALSE)+H74, G74="SS",VLOOKUP(F74,$C$4:$J$148,7,FALSE)+H74, G74="SS,FF",MAX(VLOOKUP(F74,$C$4:$J$148,7,FALSE)+H74,VLOOKUP(F74,$C$4:$J$148,8,FALSE)+H74-E74))</f>
        <v>45781</v>
      </c>
      <c r="J74" s="12">
        <f t="shared" si="2"/>
        <v>45784</v>
      </c>
    </row>
    <row r="75" spans="1:10" ht="42" x14ac:dyDescent="0.35">
      <c r="A75" s="9" t="s">
        <v>156</v>
      </c>
      <c r="B75" s="9">
        <v>8</v>
      </c>
      <c r="C75" s="9" t="s">
        <v>157</v>
      </c>
      <c r="D75" s="9" t="s">
        <v>149</v>
      </c>
      <c r="E75" s="9">
        <v>4</v>
      </c>
      <c r="F75" s="9" t="str">
        <f t="shared" si="3"/>
        <v>Plastering for Terrace Walls, Columns</v>
      </c>
      <c r="G75" s="10" t="s">
        <v>19</v>
      </c>
      <c r="H75" s="10">
        <v>0</v>
      </c>
      <c r="I75" s="12" cm="1">
        <f t="array" ref="I75">+_xlfn.IFS(G75="FS",VLOOKUP(F75,$C$4:$J$148,8,FALSE)+H75, G75="SS",VLOOKUP(F75,$C$4:$J$148,7,FALSE)+H75, G75="SS,FF",MAX(VLOOKUP(F75,$C$4:$J$148,7,FALSE)+H75,VLOOKUP(F75,$C$4:$J$148,8,FALSE)+H75-E75))</f>
        <v>45784</v>
      </c>
      <c r="J75" s="12">
        <f t="shared" si="2"/>
        <v>45788</v>
      </c>
    </row>
    <row r="76" spans="1:10" x14ac:dyDescent="0.35">
      <c r="A76" s="9" t="s">
        <v>158</v>
      </c>
      <c r="B76" s="9">
        <v>8</v>
      </c>
      <c r="C76" s="9" t="s">
        <v>159</v>
      </c>
      <c r="D76" s="9" t="s">
        <v>149</v>
      </c>
      <c r="E76" s="9">
        <v>4</v>
      </c>
      <c r="F76" s="9" t="str">
        <f t="shared" si="3"/>
        <v>Flooring in GF</v>
      </c>
      <c r="G76" s="10" t="s">
        <v>19</v>
      </c>
      <c r="H76" s="10">
        <v>0</v>
      </c>
      <c r="I76" s="12" cm="1">
        <f t="array" ref="I76">+_xlfn.IFS(G76="FS",VLOOKUP(F76,$C$4:$J$148,8,FALSE)+H76, G76="SS",VLOOKUP(F76,$C$4:$J$148,7,FALSE)+H76, G76="SS,FF",MAX(VLOOKUP(F76,$C$4:$J$148,7,FALSE)+H76,VLOOKUP(F76,$C$4:$J$148,8,FALSE)+H76-E76))</f>
        <v>45788</v>
      </c>
      <c r="J76" s="12">
        <f t="shared" si="2"/>
        <v>45792</v>
      </c>
    </row>
    <row r="77" spans="1:10" x14ac:dyDescent="0.35">
      <c r="A77" s="9" t="s">
        <v>160</v>
      </c>
      <c r="B77" s="9">
        <v>8</v>
      </c>
      <c r="C77" s="9" t="s">
        <v>159</v>
      </c>
      <c r="D77" s="9" t="s">
        <v>149</v>
      </c>
      <c r="E77" s="9">
        <v>4</v>
      </c>
      <c r="F77" s="9" t="str">
        <f t="shared" si="3"/>
        <v>Flooring in FF</v>
      </c>
      <c r="G77" s="10" t="s">
        <v>19</v>
      </c>
      <c r="H77" s="10">
        <v>0</v>
      </c>
      <c r="I77" s="12" cm="1">
        <f t="array" ref="I77">+_xlfn.IFS(G77="FS",VLOOKUP(F77,$C$4:$J$148,8,FALSE)+H77, G77="SS",VLOOKUP(F77,$C$4:$J$148,7,FALSE)+H77, G77="SS,FF",MAX(VLOOKUP(F77,$C$4:$J$148,7,FALSE)+H77,VLOOKUP(F77,$C$4:$J$148,8,FALSE)+H77-E77))</f>
        <v>45792</v>
      </c>
      <c r="J77" s="12">
        <f t="shared" si="2"/>
        <v>45796</v>
      </c>
    </row>
    <row r="78" spans="1:10" ht="70" x14ac:dyDescent="0.35">
      <c r="A78" s="9" t="s">
        <v>161</v>
      </c>
      <c r="B78" s="9">
        <v>8</v>
      </c>
      <c r="C78" s="9" t="s">
        <v>199</v>
      </c>
      <c r="D78" s="9" t="s">
        <v>149</v>
      </c>
      <c r="E78" s="9">
        <v>15</v>
      </c>
      <c r="F78" s="9" t="str">
        <f t="shared" si="3"/>
        <v>Flooring in FF</v>
      </c>
      <c r="G78" s="10" t="s">
        <v>19</v>
      </c>
      <c r="H78" s="10">
        <v>0</v>
      </c>
      <c r="I78" s="12" cm="1">
        <f t="array" ref="I78">+_xlfn.IFS(G78="FS",VLOOKUP(F78,$C$4:$J$148,8,FALSE)+H78, G78="SS",VLOOKUP(F78,$C$4:$J$148,7,FALSE)+H78, G78="SS,FF",MAX(VLOOKUP(F78,$C$4:$J$148,7,FALSE)+H78,VLOOKUP(F78,$C$4:$J$148,8,FALSE)+H78-E78))</f>
        <v>45792</v>
      </c>
      <c r="J78" s="12">
        <f t="shared" si="2"/>
        <v>45807</v>
      </c>
    </row>
    <row r="79" spans="1:10" ht="84" x14ac:dyDescent="0.35">
      <c r="A79" s="9" t="s">
        <v>162</v>
      </c>
      <c r="B79" s="9">
        <v>9</v>
      </c>
      <c r="C79" s="9" t="s">
        <v>163</v>
      </c>
      <c r="D79" s="9" t="s">
        <v>149</v>
      </c>
      <c r="E79" s="9">
        <v>4</v>
      </c>
      <c r="F79" s="9" t="str">
        <f t="shared" si="3"/>
        <v>Installation of Doors,Windows and Carpentary works in all Floors</v>
      </c>
      <c r="G79" s="10" t="s">
        <v>19</v>
      </c>
      <c r="H79" s="10">
        <v>0</v>
      </c>
      <c r="I79" s="12" cm="1">
        <f t="array" ref="I79">+_xlfn.IFS(G79="FS",VLOOKUP(F79,$C$4:$J$148,8,FALSE)+H79, G79="SS",VLOOKUP(F79,$C$4:$J$148,7,FALSE)+H79, G79="SS,FF",MAX(VLOOKUP(F79,$C$4:$J$148,7,FALSE)+H79,VLOOKUP(F79,$C$4:$J$148,8,FALSE)+H79-E79))</f>
        <v>45807</v>
      </c>
      <c r="J79" s="12">
        <f t="shared" si="2"/>
        <v>45811</v>
      </c>
    </row>
    <row r="80" spans="1:10" ht="70" x14ac:dyDescent="0.35">
      <c r="A80" s="9" t="s">
        <v>164</v>
      </c>
      <c r="B80" s="9">
        <v>9</v>
      </c>
      <c r="C80" s="9" t="s">
        <v>165</v>
      </c>
      <c r="D80" s="9" t="s">
        <v>149</v>
      </c>
      <c r="E80" s="9">
        <v>4</v>
      </c>
      <c r="F80" s="9" t="str">
        <f t="shared" si="3"/>
        <v>Putty Application, White Washing,  Painting in GF</v>
      </c>
      <c r="G80" s="10" t="s">
        <v>19</v>
      </c>
      <c r="H80" s="10">
        <v>0</v>
      </c>
      <c r="I80" s="12" cm="1">
        <f t="array" ref="I80">+_xlfn.IFS(G80="FS",VLOOKUP(F80,$C$4:$J$148,8,FALSE)+H80, G80="SS",VLOOKUP(F80,$C$4:$J$148,7,FALSE)+H80, G80="SS,FF",MAX(VLOOKUP(F80,$C$4:$J$148,7,FALSE)+H80,VLOOKUP(F80,$C$4:$J$148,8,FALSE)+H80-E80))</f>
        <v>45811</v>
      </c>
      <c r="J80" s="12">
        <f t="shared" si="2"/>
        <v>45815</v>
      </c>
    </row>
    <row r="81" spans="1:10" ht="70" x14ac:dyDescent="0.35">
      <c r="A81" s="9" t="s">
        <v>166</v>
      </c>
      <c r="B81" s="9">
        <v>9</v>
      </c>
      <c r="C81" s="9" t="s">
        <v>167</v>
      </c>
      <c r="D81" s="9" t="s">
        <v>149</v>
      </c>
      <c r="E81" s="9">
        <v>4</v>
      </c>
      <c r="F81" s="9" t="str">
        <f t="shared" si="3"/>
        <v>Putty Application, White Washing,  Painting in FF</v>
      </c>
      <c r="G81" s="10" t="s">
        <v>19</v>
      </c>
      <c r="H81" s="10">
        <v>0</v>
      </c>
      <c r="I81" s="12" cm="1">
        <f t="array" ref="I81">+_xlfn.IFS(G81="FS",VLOOKUP(F81,$C$4:$J$148,8,FALSE)+H81, G81="SS",VLOOKUP(F81,$C$4:$J$148,7,FALSE)+H81, G81="SS,FF",MAX(VLOOKUP(F81,$C$4:$J$148,7,FALSE)+H81,VLOOKUP(F81,$C$4:$J$148,8,FALSE)+H81-E81))</f>
        <v>45815</v>
      </c>
      <c r="J81" s="12">
        <f t="shared" si="2"/>
        <v>45819</v>
      </c>
    </row>
    <row r="82" spans="1:10" ht="70" x14ac:dyDescent="0.35">
      <c r="A82" s="9" t="s">
        <v>168</v>
      </c>
      <c r="B82" s="9">
        <v>9</v>
      </c>
      <c r="C82" s="9" t="s">
        <v>169</v>
      </c>
      <c r="D82" s="9" t="s">
        <v>149</v>
      </c>
      <c r="E82" s="9">
        <v>3</v>
      </c>
      <c r="F82" s="9" t="str">
        <f t="shared" si="3"/>
        <v>Putty Application, White Washing,  Painting in SF</v>
      </c>
      <c r="G82" s="10" t="s">
        <v>19</v>
      </c>
      <c r="H82" s="10">
        <v>0</v>
      </c>
      <c r="I82" s="12" cm="1">
        <f t="array" ref="I82">+_xlfn.IFS(G82="FS",VLOOKUP(F82,$C$4:$J$148,8,FALSE)+H82, G82="SS",VLOOKUP(F82,$C$4:$J$148,7,FALSE)+H82, G82="SS,FF",MAX(VLOOKUP(F82,$C$4:$J$148,7,FALSE)+H82,VLOOKUP(F82,$C$4:$J$148,8,FALSE)+H82-E82))</f>
        <v>45819</v>
      </c>
      <c r="J82" s="12">
        <f t="shared" si="2"/>
        <v>45822</v>
      </c>
    </row>
    <row r="83" spans="1:10" ht="84" x14ac:dyDescent="0.35">
      <c r="A83" s="9" t="s">
        <v>170</v>
      </c>
      <c r="B83" s="9">
        <v>9</v>
      </c>
      <c r="C83" s="9" t="s">
        <v>171</v>
      </c>
      <c r="D83" s="9" t="s">
        <v>149</v>
      </c>
      <c r="E83" s="9">
        <v>8</v>
      </c>
      <c r="F83" s="9" t="str">
        <f t="shared" si="3"/>
        <v>Putty Application, White Washing,  Painting in Terrace</v>
      </c>
      <c r="G83" s="10" t="s">
        <v>19</v>
      </c>
      <c r="H83" s="10">
        <v>0</v>
      </c>
      <c r="I83" s="12" cm="1">
        <f t="array" ref="I83">+_xlfn.IFS(G83="FS",VLOOKUP(F83,$C$4:$J$148,8,FALSE)+H83, G83="SS",VLOOKUP(F83,$C$4:$J$148,7,FALSE)+H83, G83="SS,FF",MAX(VLOOKUP(F83,$C$4:$J$148,7,FALSE)+H83,VLOOKUP(F83,$C$4:$J$148,8,FALSE)+H83-E83))</f>
        <v>45822</v>
      </c>
      <c r="J83" s="12">
        <f t="shared" si="2"/>
        <v>45830</v>
      </c>
    </row>
    <row r="84" spans="1:10" ht="70" x14ac:dyDescent="0.35">
      <c r="A84" s="9" t="s">
        <v>172</v>
      </c>
      <c r="B84" s="9">
        <v>9</v>
      </c>
      <c r="C84" s="9" t="s">
        <v>173</v>
      </c>
      <c r="D84" s="9" t="s">
        <v>149</v>
      </c>
      <c r="E84" s="9">
        <v>6</v>
      </c>
      <c r="F84" s="9" t="str">
        <f t="shared" si="3"/>
        <v>Water Proofing the Terrace Slab, Columns, Walls</v>
      </c>
      <c r="G84" s="10" t="s">
        <v>19</v>
      </c>
      <c r="H84" s="10">
        <v>0</v>
      </c>
      <c r="I84" s="12" cm="1">
        <f t="array" ref="I84">+_xlfn.IFS(G84="FS",VLOOKUP(F84,$C$4:$J$148,8,FALSE)+H84, G84="SS",VLOOKUP(F84,$C$4:$J$148,7,FALSE)+H84, G84="SS,FF",MAX(VLOOKUP(F84,$C$4:$J$148,7,FALSE)+H84,VLOOKUP(F84,$C$4:$J$148,8,FALSE)+H84-E84))</f>
        <v>45830</v>
      </c>
      <c r="J84" s="12">
        <f t="shared" si="2"/>
        <v>45836</v>
      </c>
    </row>
    <row r="85" spans="1:10" ht="70" x14ac:dyDescent="0.35">
      <c r="A85" s="9" t="s">
        <v>188</v>
      </c>
      <c r="B85" s="9">
        <v>10</v>
      </c>
      <c r="C85" s="9" t="s">
        <v>189</v>
      </c>
      <c r="D85" s="9" t="s">
        <v>190</v>
      </c>
      <c r="E85" s="9">
        <v>1</v>
      </c>
      <c r="F85" s="9" t="str">
        <f>+C81</f>
        <v>Putty Application, White Washing,  Painting in SF</v>
      </c>
      <c r="G85" s="10" t="s">
        <v>19</v>
      </c>
      <c r="H85" s="10">
        <v>0</v>
      </c>
      <c r="I85" s="12" cm="1">
        <f t="array" ref="I85">+_xlfn.IFS(G85="FS",VLOOKUP(F85,$C$4:$J$148,8,FALSE)+H85, G85="SS",VLOOKUP(F85,$C$4:$J$148,7,FALSE)+H85, G85="SS,FF",MAX(VLOOKUP(F85,$C$4:$J$148,7,FALSE)+H85,VLOOKUP(F85,$C$4:$J$148,8,FALSE)+H85-E85))</f>
        <v>45819</v>
      </c>
      <c r="J85" s="12">
        <f t="shared" si="2"/>
        <v>45820</v>
      </c>
    </row>
    <row r="86" spans="1:10" ht="84" x14ac:dyDescent="0.35">
      <c r="A86" s="9" t="s">
        <v>191</v>
      </c>
      <c r="B86" s="9">
        <v>10</v>
      </c>
      <c r="C86" s="9" t="s">
        <v>192</v>
      </c>
      <c r="D86" s="9" t="s">
        <v>190</v>
      </c>
      <c r="E86" s="9">
        <v>3</v>
      </c>
      <c r="F86" s="9" t="str">
        <f t="shared" ref="F86:F88" si="4">+C85</f>
        <v>Sound Proofing/Insulating the Home theater room</v>
      </c>
      <c r="G86" s="10" t="s">
        <v>19</v>
      </c>
      <c r="H86" s="10">
        <v>0</v>
      </c>
      <c r="I86" s="12" cm="1">
        <f t="array" ref="I86">+_xlfn.IFS(G86="FS",VLOOKUP(F86,$C$4:$J$148,8,FALSE)+H86, G86="SS",VLOOKUP(F86,$C$4:$J$148,7,FALSE)+H86, G86="SS,FF",MAX(VLOOKUP(F86,$C$4:$J$148,7,FALSE)+H86,VLOOKUP(F86,$C$4:$J$148,8,FALSE)+H86-E86))</f>
        <v>45820</v>
      </c>
      <c r="J86" s="12">
        <f t="shared" si="2"/>
        <v>45823</v>
      </c>
    </row>
    <row r="87" spans="1:10" ht="98" x14ac:dyDescent="0.35">
      <c r="A87" s="9" t="s">
        <v>193</v>
      </c>
      <c r="B87" s="9">
        <v>10</v>
      </c>
      <c r="C87" s="9" t="s">
        <v>194</v>
      </c>
      <c r="D87" s="9" t="s">
        <v>190</v>
      </c>
      <c r="E87" s="9">
        <v>1</v>
      </c>
      <c r="F87" s="9" t="str">
        <f t="shared" si="4"/>
        <v>Electrical works (Prewiring, Setup of projectors, speakers, cabels)</v>
      </c>
      <c r="G87" s="10" t="s">
        <v>19</v>
      </c>
      <c r="H87" s="10">
        <v>0</v>
      </c>
      <c r="I87" s="12" cm="1">
        <f t="array" ref="I87">+_xlfn.IFS(G87="FS",VLOOKUP(F87,$C$4:$J$148,8,FALSE)+H87, G87="SS",VLOOKUP(F87,$C$4:$J$148,7,FALSE)+H87, G87="SS,FF",MAX(VLOOKUP(F87,$C$4:$J$148,7,FALSE)+H87,VLOOKUP(F87,$C$4:$J$148,8,FALSE)+H87-E87))</f>
        <v>45823</v>
      </c>
      <c r="J87" s="12">
        <f t="shared" si="2"/>
        <v>45824</v>
      </c>
    </row>
    <row r="88" spans="1:10" ht="28" x14ac:dyDescent="0.35">
      <c r="A88" s="9" t="s">
        <v>195</v>
      </c>
      <c r="B88" s="9">
        <v>10</v>
      </c>
      <c r="C88" s="9" t="s">
        <v>196</v>
      </c>
      <c r="D88" s="9" t="s">
        <v>190</v>
      </c>
      <c r="E88" s="9">
        <v>1</v>
      </c>
      <c r="F88" s="9" t="str">
        <f t="shared" si="4"/>
        <v>Setting of the Seating</v>
      </c>
      <c r="G88" s="10" t="s">
        <v>19</v>
      </c>
      <c r="H88" s="10">
        <v>0</v>
      </c>
      <c r="I88" s="12" cm="1">
        <f t="array" ref="I88">+_xlfn.IFS(G88="FS",VLOOKUP(F88,$C$4:$J$148,8,FALSE)+H88, G88="SS",VLOOKUP(F88,$C$4:$J$148,7,FALSE)+H88, G88="SS,FF",MAX(VLOOKUP(F88,$C$4:$J$148,7,FALSE)+H88,VLOOKUP(F88,$C$4:$J$148,8,FALSE)+H88-E88))</f>
        <v>45824</v>
      </c>
      <c r="J88" s="12">
        <f t="shared" si="2"/>
        <v>45825</v>
      </c>
    </row>
    <row r="89" spans="1:10" ht="70" x14ac:dyDescent="0.35">
      <c r="A89" s="9" t="s">
        <v>197</v>
      </c>
      <c r="B89" s="9">
        <v>10</v>
      </c>
      <c r="C89" s="9" t="s">
        <v>198</v>
      </c>
      <c r="D89" s="9" t="s">
        <v>149</v>
      </c>
      <c r="E89" s="9">
        <v>3</v>
      </c>
      <c r="F89" s="9" t="str">
        <f>+C81</f>
        <v>Putty Application, White Washing,  Painting in SF</v>
      </c>
      <c r="G89" s="10" t="s">
        <v>19</v>
      </c>
      <c r="H89" s="10">
        <v>0</v>
      </c>
      <c r="I89" s="12" cm="1">
        <f t="array" ref="I89">+_xlfn.IFS(G89="FS",VLOOKUP(F89,$C$4:$J$148,8,FALSE)+H89, G89="SS",VLOOKUP(F89,$C$4:$J$148,7,FALSE)+H89, G89="SS,FF",MAX(VLOOKUP(F89,$C$4:$J$148,7,FALSE)+H89,VLOOKUP(F89,$C$4:$J$148,8,FALSE)+H89-E89))</f>
        <v>45819</v>
      </c>
      <c r="J89" s="12">
        <f t="shared" si="2"/>
        <v>45822</v>
      </c>
    </row>
    <row r="90" spans="1:10" x14ac:dyDescent="0.35">
      <c r="I90" s="15"/>
      <c r="J90" s="15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</vt:lpstr>
      <vt:lpstr>Shedule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Chirag Kothari</cp:lastModifiedBy>
  <cp:revision/>
  <dcterms:created xsi:type="dcterms:W3CDTF">2024-10-01T16:57:32Z</dcterms:created>
  <dcterms:modified xsi:type="dcterms:W3CDTF">2025-10-13T04:06:18Z</dcterms:modified>
  <cp:category/>
  <cp:contentStatus/>
</cp:coreProperties>
</file>