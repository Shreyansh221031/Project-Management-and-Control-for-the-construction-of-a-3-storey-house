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mc:AlternateContent xmlns:mc="http://schemas.openxmlformats.org/markup-compatibility/2006">
    <mc:Choice Requires="x15">
      <x15ac:absPath xmlns:x15ac="http://schemas.microsoft.com/office/spreadsheetml/2010/11/ac" url="https://iitk-my.sharepoint.com/personal/shreyansh22_iitk_ac_in/Documents/"/>
    </mc:Choice>
  </mc:AlternateContent>
  <xr:revisionPtr revIDLastSave="0" documentId="8_{2A094116-AF9B-406A-8FFA-45AC2D62AA28}" xr6:coauthVersionLast="47" xr6:coauthVersionMax="47" xr10:uidLastSave="{00000000-0000-0000-0000-000000000000}"/>
  <bookViews>
    <workbookView xWindow="0" yWindow="0" windowWidth="33600" windowHeight="21000" firstSheet="3" activeTab="4" xr2:uid="{00000000-000D-0000-FFFF-FFFF00000000}"/>
  </bookViews>
  <sheets>
    <sheet name="Sheet1" sheetId="1" r:id="rId1"/>
    <sheet name="Sheet2" sheetId="5" r:id="rId2"/>
    <sheet name="Sheet3" sheetId="6" r:id="rId3"/>
    <sheet name="Sheet4" sheetId="7" r:id="rId4"/>
    <sheet name="Sheet5"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5" l="1" a="1"/>
  <c r="G7" i="5" s="1"/>
  <c r="H7" i="5" s="1"/>
  <c r="G8" i="5" l="1" a="1"/>
  <c r="G8" i="5" s="1"/>
  <c r="H8" i="5" s="1"/>
  <c r="G9" i="5" a="1"/>
  <c r="G9" i="5" s="1"/>
  <c r="H9" i="5" s="1"/>
  <c r="G10" i="5" a="1"/>
  <c r="G10" i="5" s="1"/>
  <c r="H10" i="5" s="1"/>
  <c r="G16" i="5" s="1" a="1"/>
  <c r="G16" i="5" s="1"/>
  <c r="H16" i="5" s="1"/>
  <c r="G17" i="5" s="1" a="1"/>
  <c r="G17" i="5" s="1"/>
  <c r="H17" i="5" s="1"/>
  <c r="G11" i="5" a="1"/>
  <c r="G11" i="5" s="1"/>
  <c r="H11" i="5" s="1"/>
  <c r="G12" i="5" a="1"/>
  <c r="G12" i="5" s="1"/>
  <c r="H12" i="5" s="1"/>
  <c r="G13" i="5" a="1"/>
  <c r="G13" i="5" s="1"/>
  <c r="H13" i="5" s="1"/>
  <c r="G14" i="5" a="1"/>
  <c r="G14" i="5" s="1"/>
  <c r="H14" i="5" s="1"/>
  <c r="G15" i="5" a="1"/>
  <c r="G15" i="5" s="1"/>
  <c r="H15" i="5" s="1"/>
  <c r="G18" i="5" l="1" a="1"/>
  <c r="G18" i="5" s="1"/>
  <c r="H18" i="5" s="1"/>
  <c r="G19" i="5" a="1"/>
  <c r="G19" i="5" s="1"/>
  <c r="H19" i="5" s="1"/>
  <c r="G20" i="5" s="1" a="1"/>
  <c r="G20" i="5" s="1"/>
  <c r="H20" i="5" s="1"/>
  <c r="G21" i="5" s="1" a="1"/>
  <c r="G21" i="5" s="1"/>
  <c r="H21" i="5" s="1"/>
  <c r="G22" i="5" s="1" a="1"/>
  <c r="G22" i="5" s="1"/>
  <c r="H22" i="5" s="1"/>
  <c r="G23" i="5" l="1" a="1"/>
  <c r="G23" i="5" s="1"/>
  <c r="H23" i="5" s="1"/>
  <c r="G24" i="5" s="1" a="1"/>
  <c r="G24" i="5" s="1"/>
  <c r="H24" i="5" s="1"/>
  <c r="G25" i="5" a="1"/>
  <c r="G25" i="5" s="1"/>
  <c r="H25" i="5" s="1"/>
  <c r="G26" i="5" s="1" a="1"/>
  <c r="G26" i="5" s="1"/>
  <c r="H26" i="5" s="1"/>
  <c r="G27" i="5" s="1" a="1"/>
  <c r="G27" i="5" s="1"/>
  <c r="H27" i="5" s="1"/>
  <c r="G28" i="5" s="1" a="1"/>
  <c r="G28" i="5" s="1"/>
  <c r="H28" i="5" s="1"/>
  <c r="G29" i="5" s="1" a="1"/>
  <c r="G29" i="5" s="1"/>
  <c r="H29" i="5" s="1"/>
  <c r="G30" i="5" s="1" a="1"/>
  <c r="G30" i="5" s="1"/>
  <c r="H30" i="5" s="1"/>
  <c r="G31" i="5" l="1" a="1"/>
  <c r="G31" i="5" s="1"/>
  <c r="H31" i="5" s="1"/>
  <c r="G32" i="5" s="1" a="1"/>
  <c r="G32" i="5" s="1"/>
  <c r="H32" i="5" s="1"/>
  <c r="G33" i="5" s="1" a="1"/>
  <c r="G33" i="5" s="1"/>
  <c r="H33" i="5" s="1"/>
  <c r="G71" i="5" s="1" a="1"/>
  <c r="G71" i="5" s="1"/>
  <c r="H71" i="5" s="1"/>
  <c r="G34" i="5" a="1"/>
  <c r="G34" i="5" s="1"/>
  <c r="H34" i="5" s="1"/>
  <c r="G35" i="5" s="1" a="1"/>
  <c r="G35" i="5" s="1"/>
  <c r="H35" i="5" s="1"/>
  <c r="G36" i="5" s="1" a="1"/>
  <c r="G36" i="5" s="1"/>
  <c r="H36" i="5" s="1"/>
  <c r="G37" i="5" s="1" a="1"/>
  <c r="G37" i="5" s="1"/>
  <c r="H37" i="5" s="1"/>
  <c r="G38" i="5" l="1" a="1"/>
  <c r="G38" i="5" s="1"/>
  <c r="H38" i="5" s="1"/>
  <c r="G39" i="5" a="1"/>
  <c r="G39" i="5" s="1"/>
  <c r="H39" i="5" s="1"/>
  <c r="G40" i="5" s="1" a="1"/>
  <c r="G40" i="5" s="1"/>
  <c r="H40" i="5" s="1"/>
  <c r="G41" i="5" l="1" a="1"/>
  <c r="G41" i="5" s="1"/>
  <c r="H41" i="5" s="1"/>
  <c r="G42" i="5" a="1"/>
  <c r="G42" i="5" s="1"/>
  <c r="H42" i="5" s="1"/>
  <c r="G43" i="5" s="1" a="1"/>
  <c r="G43" i="5" s="1"/>
  <c r="H43" i="5" s="1"/>
  <c r="G44" i="5" s="1" a="1"/>
  <c r="G44" i="5" s="1"/>
  <c r="H44" i="5" s="1"/>
  <c r="G45" i="5" s="1" a="1"/>
  <c r="G45" i="5" s="1"/>
  <c r="H45" i="5" s="1"/>
  <c r="G65" i="5" a="1"/>
  <c r="G65" i="5" s="1"/>
  <c r="H65" i="5" s="1"/>
  <c r="G46" i="5" l="1" a="1"/>
  <c r="G46" i="5" s="1"/>
  <c r="H46" i="5" s="1"/>
  <c r="G47" i="5" a="1"/>
  <c r="G47" i="5" s="1"/>
  <c r="H47" i="5" s="1"/>
  <c r="G48" i="5" s="1" a="1"/>
  <c r="G48" i="5" s="1"/>
  <c r="H48" i="5" s="1"/>
  <c r="G49" i="5" l="1" a="1"/>
  <c r="G49" i="5" s="1"/>
  <c r="H49" i="5" s="1"/>
  <c r="G50" i="5" a="1"/>
  <c r="G50" i="5" s="1"/>
  <c r="H50" i="5" s="1"/>
  <c r="G51" i="5" s="1" a="1"/>
  <c r="G51" i="5" s="1"/>
  <c r="H51" i="5" s="1"/>
  <c r="G52" i="5" s="1" a="1"/>
  <c r="G52" i="5" s="1"/>
  <c r="H52" i="5" s="1"/>
  <c r="G53" i="5" s="1" a="1"/>
  <c r="G53" i="5" s="1"/>
  <c r="H53" i="5" s="1"/>
  <c r="G66" i="5" a="1"/>
  <c r="G66" i="5" s="1"/>
  <c r="H66" i="5" s="1"/>
  <c r="G69" i="5" l="1" a="1"/>
  <c r="G69" i="5" s="1"/>
  <c r="H69" i="5" s="1"/>
  <c r="G72" i="5" s="1" a="1"/>
  <c r="G72" i="5" s="1"/>
  <c r="H72" i="5" s="1"/>
  <c r="G74" i="5" s="1" a="1"/>
  <c r="G74" i="5" s="1"/>
  <c r="H74" i="5" s="1"/>
  <c r="G54" i="5" a="1"/>
  <c r="G54" i="5" s="1"/>
  <c r="H54" i="5" s="1"/>
  <c r="G55" i="5" a="1"/>
  <c r="G55" i="5" s="1"/>
  <c r="H55" i="5" s="1"/>
  <c r="G56" i="5" s="1" a="1"/>
  <c r="G56" i="5" s="1"/>
  <c r="H56" i="5" s="1"/>
  <c r="G57" i="5" l="1" a="1"/>
  <c r="G57" i="5" s="1"/>
  <c r="H57" i="5" s="1"/>
  <c r="G58" i="5" a="1"/>
  <c r="G58" i="5" s="1"/>
  <c r="H58" i="5" s="1"/>
  <c r="G59" i="5" s="1" a="1"/>
  <c r="G59" i="5" s="1"/>
  <c r="H59" i="5" s="1"/>
  <c r="G60" i="5" s="1" a="1"/>
  <c r="G60" i="5" s="1"/>
  <c r="H60" i="5" s="1"/>
  <c r="G67" i="5" a="1"/>
  <c r="G67" i="5" s="1"/>
  <c r="H67" i="5" s="1"/>
  <c r="G61" i="5" l="1" a="1"/>
  <c r="G61" i="5" s="1"/>
  <c r="H61" i="5" s="1"/>
  <c r="G62" i="5" a="1"/>
  <c r="G62" i="5" s="1"/>
  <c r="H62" i="5" s="1"/>
  <c r="G63" i="5" s="1" a="1"/>
  <c r="G63" i="5" s="1"/>
  <c r="H63" i="5" s="1"/>
  <c r="G64" i="5" s="1" a="1"/>
  <c r="G64" i="5" s="1"/>
  <c r="H64" i="5" s="1"/>
  <c r="G68" i="5" a="1"/>
  <c r="G68" i="5" s="1"/>
  <c r="H68" i="5" s="1"/>
  <c r="G70" i="5" l="1" a="1"/>
  <c r="G70" i="5" s="1"/>
  <c r="H70" i="5" s="1"/>
  <c r="G76" i="5" a="1"/>
  <c r="G76" i="5" s="1"/>
  <c r="H76" i="5" s="1"/>
  <c r="G84" i="5" s="1" a="1"/>
  <c r="G84" i="5" s="1"/>
  <c r="H84" i="5" s="1"/>
  <c r="G73" i="5" l="1" a="1"/>
  <c r="G73" i="5" s="1"/>
  <c r="H73" i="5" s="1"/>
  <c r="G75" i="5" s="1" a="1"/>
  <c r="G75" i="5" s="1"/>
  <c r="H75" i="5" s="1"/>
  <c r="G77" i="5" l="1" a="1"/>
  <c r="G77" i="5" s="1"/>
  <c r="H77" i="5" s="1"/>
  <c r="G78" i="5" a="1"/>
  <c r="G78" i="5" s="1"/>
  <c r="H78" i="5" s="1"/>
  <c r="G82" i="5" a="1"/>
  <c r="G82" i="5" s="1"/>
  <c r="H82" i="5" s="1"/>
  <c r="G79" i="5" l="1" a="1"/>
  <c r="G79" i="5" s="1"/>
  <c r="H79" i="5" s="1"/>
  <c r="G80" i="5" s="1" a="1"/>
  <c r="G80" i="5" s="1"/>
  <c r="H80" i="5" s="1"/>
  <c r="G81" i="5" s="1" a="1"/>
  <c r="G81" i="5" s="1"/>
  <c r="H81" i="5" s="1"/>
  <c r="G83" i="5" s="1" a="1"/>
  <c r="G83" i="5" s="1"/>
  <c r="H83" i="5" s="1"/>
  <c r="G85" i="5" s="1" a="1"/>
  <c r="G85" i="5" s="1"/>
  <c r="H85" i="5" s="1"/>
  <c r="G86" i="5" s="1" a="1"/>
  <c r="G86" i="5" s="1"/>
  <c r="H86"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<sst xmlns="http://schemas.openxmlformats.org/spreadsheetml/2006/main" count="587" uniqueCount="373">
  <si>
    <t>Assumption Part                                           IS Code : IS 7272 Part 1 ,IS 15883 Part 1,2</t>
  </si>
  <si>
    <t>Q1</t>
  </si>
  <si>
    <t>Appropriate level of detail to use for activities?</t>
  </si>
  <si>
    <t>Q2</t>
  </si>
  <si>
    <t>Appropriate cycle for gathering project status and updating schedule</t>
  </si>
  <si>
    <t>Q3</t>
  </si>
  <si>
    <t>What should be the time scale to be used?</t>
  </si>
  <si>
    <t>Q4</t>
  </si>
  <si>
    <t>Will resource availability be considered during scheduling?</t>
  </si>
  <si>
    <t>Assumption (underline Assumptions)</t>
  </si>
  <si>
    <r>
      <rPr>
        <b/>
        <sz val="11"/>
        <color theme="1"/>
        <rFont val="Arial"/>
        <family val="2"/>
      </rPr>
      <t>Project type:</t>
    </r>
    <r>
      <rPr>
        <sz val="11"/>
        <color rgb="FF000000"/>
        <rFont val="Arial"/>
        <family val="2"/>
      </rPr>
      <t xml:space="preserve"> a typical reinforced-concrete 3-storey house  G+2 (ground + 1st + 2nd) (no basement).</t>
    </r>
  </si>
  <si>
    <r>
      <rPr>
        <b/>
        <sz val="11"/>
        <color rgb="FF000000"/>
        <rFont val="Arial"/>
        <family val="2"/>
      </rPr>
      <t>Footprint and grids:</t>
    </r>
    <r>
      <rPr>
        <sz val="11"/>
        <color rgb="FF000000"/>
        <rFont val="Arial"/>
        <family val="2"/>
      </rPr>
      <t xml:space="preserve"> plan spans organized on grids A–C/1–6 with overall building envelope approximately 18.135 m (longitudinal) by 6.095 m (transverse) per beam layout for scoping quantities and sequencing.</t>
    </r>
  </si>
  <si>
    <r>
      <rPr>
        <b/>
        <sz val="11"/>
        <color theme="1"/>
        <rFont val="Helvetica Neue"/>
        <family val="2"/>
      </rPr>
      <t>Levels and verticals:</t>
    </r>
    <r>
      <rPr>
        <sz val="11"/>
        <color theme="1"/>
        <rFont val="Helvetica Neue"/>
        <family val="2"/>
      </rPr>
      <t xml:space="preserve"> Parking +300, Entrance +940, First Floor +4300, Second Floor +7660, Mumty/Terrace +10060 adopted for all level‑based takeoffs and schedule restraints</t>
    </r>
  </si>
  <si>
    <r>
      <rPr>
        <b/>
        <sz val="11"/>
        <color theme="1"/>
        <rFont val="Helvetica Neue"/>
        <family val="2"/>
      </rPr>
      <t>Structural thicknesses:</t>
    </r>
    <r>
      <rPr>
        <sz val="11"/>
        <color theme="1"/>
        <rFont val="Helvetica Neue"/>
        <family val="2"/>
      </rPr>
      <t xml:space="preserve"> slab thickness 160 mm, plinth slab thickness 100 mm, floor‑to‑floor height 3360 mm, footing depth −1050 mm; use these for volume/formwork and vertical clearances unless superseded by detail.</t>
    </r>
  </si>
  <si>
    <r>
      <rPr>
        <b/>
        <sz val="11"/>
        <color theme="1"/>
        <rFont val="Helvetica Neue"/>
        <family val="2"/>
      </rPr>
      <t>Stairs geometry:</t>
    </r>
    <r>
      <rPr>
        <sz val="11"/>
        <color theme="1"/>
        <rFont val="Helvetica Neue"/>
        <family val="2"/>
      </rPr>
      <t xml:space="preserve"> stair width 1200 mm, tread 250 mm, riser 160 mm for waist slab and finishing quantities and to define stair sequencing across levels</t>
    </r>
  </si>
  <si>
    <r>
      <rPr>
        <b/>
        <sz val="11"/>
        <color theme="1"/>
        <rFont val="Helvetica Neue"/>
        <family val="2"/>
      </rPr>
      <t>Openings:</t>
    </r>
    <r>
      <rPr>
        <sz val="11"/>
        <color theme="1"/>
        <rFont val="Helvetica Neue"/>
        <family val="2"/>
      </rPr>
      <t xml:space="preserve"> door/window/vent sizes and types per schedule (D1–D4, W1–W3, V1, S1) for masonry deductions, frames, shutters, glazing, and finishing.</t>
    </r>
  </si>
  <si>
    <r>
      <rPr>
        <b/>
        <sz val="11"/>
        <color theme="1"/>
        <rFont val="Helvetica Neue"/>
        <family val="2"/>
      </rPr>
      <t>Beam system:</t>
    </r>
    <r>
      <rPr>
        <sz val="11"/>
        <color theme="1"/>
        <rFont val="Helvetica Neue"/>
        <family val="2"/>
      </rPr>
      <t xml:space="preserve"> beam marks B1–B4 and plinth beams define structural sequencing for column→beam→slab cycles on each floor.</t>
    </r>
  </si>
  <si>
    <r>
      <rPr>
        <b/>
        <sz val="11"/>
        <color theme="1"/>
        <rFont val="Helvetica Neue"/>
        <family val="2"/>
      </rPr>
      <t>Terrace scope:</t>
    </r>
    <r>
      <rPr>
        <sz val="11"/>
        <color theme="1"/>
        <rFont val="Helvetica Neue"/>
        <family val="2"/>
      </rPr>
      <t xml:space="preserve"> mumty rooms, parapets, terrace chhajja, and waterproofing/finish items included in superstructure scope</t>
    </r>
  </si>
  <si>
    <r>
      <rPr>
        <b/>
        <sz val="11"/>
        <color theme="1"/>
        <rFont val="Helvetica Neue"/>
        <family val="2"/>
      </rPr>
      <t xml:space="preserve">Measurement standard: </t>
    </r>
    <r>
      <rPr>
        <sz val="11"/>
        <color theme="1"/>
        <rFont val="Helvetica Neue"/>
        <family val="2"/>
      </rPr>
      <t>quantities measured per IS measurement code referenced in assignment, including working space for excavation and transparent computation columns in Excel</t>
    </r>
  </si>
  <si>
    <r>
      <rPr>
        <b/>
        <sz val="11"/>
        <color theme="1"/>
        <rFont val="Helvetica Neue"/>
        <family val="2"/>
      </rPr>
      <t>Site availability:</t>
    </r>
    <r>
      <rPr>
        <sz val="11"/>
        <color theme="1"/>
        <rFont val="Helvetica Neue"/>
        <family val="2"/>
      </rPr>
      <t xml:space="preserve"> assume site handover and start readiness from 01‑Oct‑2025; adjust if client or institute issues a different mobilization date.</t>
    </r>
  </si>
  <si>
    <r>
      <rPr>
        <b/>
        <sz val="11"/>
        <color theme="1"/>
        <rFont val="Helvetica Neue"/>
        <family val="2"/>
      </rPr>
      <t>Working calendar:</t>
    </r>
    <r>
      <rPr>
        <sz val="11"/>
        <color theme="1"/>
        <rFont val="Helvetica Neue"/>
        <family val="2"/>
      </rPr>
      <t xml:space="preserve"> 6‑day site calendar (Mon–Sat working, Sunday non‑working) unless the project issues a different calendar</t>
    </r>
  </si>
  <si>
    <r>
      <rPr>
        <b/>
        <sz val="11"/>
        <color theme="1"/>
        <rFont val="Helvetica Neue"/>
        <family val="2"/>
      </rPr>
      <t>Time unit and updates:</t>
    </r>
    <r>
      <rPr>
        <sz val="11"/>
        <color theme="1"/>
        <rFont val="Helvetica Neue"/>
        <family val="2"/>
      </rPr>
      <t xml:space="preserve"> use days as schedule unit with a weekly update cycle for progress measurement and control</t>
    </r>
  </si>
  <si>
    <r>
      <rPr>
        <b/>
        <sz val="11"/>
        <color theme="1"/>
        <rFont val="Helvetica Neue"/>
        <family val="2"/>
      </rPr>
      <t xml:space="preserve">Activity sizing: </t>
    </r>
    <r>
      <rPr>
        <sz val="11"/>
        <color theme="1"/>
        <rFont val="Helvetica Neue"/>
        <family val="2"/>
      </rPr>
      <t>plan activities so no single activity exceeds 14 calendar days; target durations ≤ 2× the weekly update cycle as per lecture best practice.</t>
    </r>
  </si>
  <si>
    <r>
      <rPr>
        <b/>
        <sz val="11"/>
        <color theme="1"/>
        <rFont val="Helvetica Neue"/>
        <family val="2"/>
      </rPr>
      <t>Logic discipline:</t>
    </r>
    <r>
      <rPr>
        <sz val="16"/>
        <color theme="1"/>
        <rFont val="Helvetica Neue"/>
        <family val="2"/>
      </rPr>
      <t xml:space="preserve"> </t>
    </r>
    <r>
      <rPr>
        <sz val="11"/>
        <color theme="1"/>
        <rFont val="Helvetica Neue"/>
        <family val="2"/>
      </rPr>
      <t>use FS as default relationship; apply SS/FF only where physically justified; avoid negative lags and do not use constraints to replace logic.</t>
    </r>
  </si>
  <si>
    <r>
      <rPr>
        <b/>
        <sz val="11"/>
        <color theme="1"/>
        <rFont val="Helvetica Neue"/>
        <family val="2"/>
      </rPr>
      <t>Finishes sequencing:</t>
    </r>
    <r>
      <rPr>
        <sz val="11"/>
        <color theme="1"/>
        <rFont val="Helvetica Neue"/>
        <family val="2"/>
      </rPr>
      <t xml:space="preserve"> masonry → internal plaster → flooring → doors/windows shutters → internal painting per floor; terrace waterproofing precedes terrace finishes</t>
    </r>
  </si>
  <si>
    <r>
      <rPr>
        <b/>
        <sz val="11"/>
        <color theme="1"/>
        <rFont val="Helvetica Neue"/>
        <family val="2"/>
      </rPr>
      <t>MEP sleeves:</t>
    </r>
    <r>
      <rPr>
        <sz val="11"/>
        <color theme="1"/>
        <rFont val="Helvetica Neue"/>
        <family val="2"/>
      </rPr>
      <t xml:space="preserve"> allowance for sleeves/openings through slabs/beams to be coordinated during reinforcement stage on each floor</t>
    </r>
  </si>
  <si>
    <r>
      <rPr>
        <b/>
        <sz val="11"/>
        <color theme="1"/>
        <rFont val="Helvetica Neue"/>
        <family val="2"/>
      </rPr>
      <t xml:space="preserve">External works: </t>
    </r>
    <r>
      <rPr>
        <sz val="11"/>
        <color theme="1"/>
        <rFont val="Helvetica Neue"/>
        <family val="2"/>
      </rPr>
      <t>entrance ramp 1:5 and approach works sequenced after external plaster/painting and terrace drainage completion.</t>
    </r>
  </si>
  <si>
    <t>Use a floor-based WBS: Substructure/Plinth, Ground Floor (+940), First (+4300), Second (+7660), and Mumty/Terrace (+10060), with activities grouped by structural and architectural trades on each level.</t>
  </si>
  <si>
    <t>For structure, package each floor as columns → beams → slab → stairs with separate entries for shuttering, rebar, and concreting only where overlaps are physically meaningful, avoiding excessive micro-steps.</t>
  </si>
  <si>
    <t>For finishes/MEP, keep activities at trade-by-floor (masonry, frames, rough-ins, internal plaster, flooring, door/window shutters, painting, external plaster, waterproofing/terrace works) rather than room-by-room</t>
  </si>
  <si>
    <t>Target durations ≤ 14 days so no task exceeds twice the weekly update cycle, and ensure every activity has at least one predecessor and successor with FS as default and limited SS/FF only where physically justified.</t>
  </si>
  <si>
    <t>Avoid using constraints to replace logic and avoid negative lags; document the basis for any restraints or overlaps to maintain schedule transparency.</t>
  </si>
  <si>
    <t>Weekly cycle: capture daily field logs, freeze progress every Friday (cut‑off), update the CPM on Monday with actuals and remaining durations, review critical/near‑critical paths, and publish a 2‑week look‑ahead on a 6‑day working calendar using day units.</t>
  </si>
  <si>
    <t>During high‑risk or milestone weeks, add a mid‑week mini‑update; keep the contractual baseline frozen and document any logic/lag changes in the basis‑of‑schedule</t>
  </si>
  <si>
    <t>Use day as the primary time scale on a 6‑day working calendar (Mon–Sat)</t>
  </si>
  <si>
    <t>Day units align with activity sizing and progress measurement by quantities; avoid hour‑level noise and maintain consistency across floors and trades.</t>
  </si>
  <si>
    <t>Keep calendar exceptions for Sundays/holidays and document any shift changes; do not replace logic with date constraints when re‑forecasting</t>
  </si>
  <si>
    <t xml:space="preserve">Yes </t>
  </si>
  <si>
    <r>
      <t>Baseline: develop CPM using physical FS/SS links; size durations via </t>
    </r>
    <r>
      <rPr>
        <sz val="11"/>
        <color theme="1"/>
        <rFont val="Times New Roman"/>
        <family val="1"/>
      </rPr>
      <t xml:space="preserve">TE=q/(p×n) </t>
    </r>
    <r>
      <rPr>
        <sz val="11"/>
        <color theme="1"/>
        <rFont val="Helvetica Neue"/>
        <family val="2"/>
      </rPr>
      <t>using IS time‑management and labour outputs.</t>
    </r>
  </si>
  <si>
    <t>Review: check peak demand for shuttering carpenters, steel fixers, concreting, masons, tilers, plumbers, and electricians by week; adjust crew splits or sequence to remove overloads without hard dates</t>
  </si>
  <si>
    <t>Document: record the basis for any resource‑driven restraint/lag; keep the contractual baseline frozen and track variances weekly in the look‑ahead and risk logs.</t>
  </si>
  <si>
    <t>Activity</t>
  </si>
  <si>
    <t>Description</t>
  </si>
  <si>
    <t>Duration (days)</t>
  </si>
  <si>
    <t>Relationship</t>
  </si>
  <si>
    <t>ES</t>
  </si>
  <si>
    <t>EF</t>
  </si>
  <si>
    <t>Relation type</t>
  </si>
  <si>
    <t>Lag</t>
  </si>
  <si>
    <t xml:space="preserve">Work </t>
  </si>
  <si>
    <t>Crew_n</t>
  </si>
  <si>
    <t xml:space="preserve">Number of people per crew </t>
  </si>
  <si>
    <t>TE_calc_days</t>
  </si>
  <si>
    <t>Calculations based on TE=q/(p x n)</t>
  </si>
  <si>
    <t>Resources before levelling</t>
  </si>
  <si>
    <t>Resources after levelling</t>
  </si>
  <si>
    <t>Duration before levelling</t>
  </si>
  <si>
    <t>Duration after levelling</t>
  </si>
  <si>
    <t>A001</t>
  </si>
  <si>
    <t>Project mobilization and site setup (office, store, security)</t>
  </si>
  <si>
    <t>Preliminaries</t>
  </si>
  <si>
    <t>Time-boxed per plan (no TE calc)</t>
  </si>
  <si>
    <t>A002</t>
  </si>
  <si>
    <t>Site survey and setting-out (grids A–C/1–6)</t>
  </si>
  <si>
    <t>FS</t>
  </si>
  <si>
    <t>Survey</t>
  </si>
  <si>
    <t>Time-boxed survey window</t>
  </si>
  <si>
    <t>A003</t>
  </si>
  <si>
    <t>Permits and clearances (admin)</t>
  </si>
  <si>
    <t>SS</t>
  </si>
  <si>
    <t>Admin</t>
  </si>
  <si>
    <t>Admin duration (no quantity)</t>
  </si>
  <si>
    <t>A004</t>
  </si>
  <si>
    <t>Temporary fencing and HSE installations</t>
  </si>
  <si>
    <t>HSE</t>
  </si>
  <si>
    <t>Enablement duration</t>
  </si>
  <si>
    <t>A005</t>
  </si>
  <si>
    <t>Temporary utilities (power/water/lighting)</t>
  </si>
  <si>
    <t>Temporary Utilities</t>
  </si>
  <si>
    <t>A006</t>
  </si>
  <si>
    <t>Procurement plan and long-lead identification</t>
  </si>
  <si>
    <t>Procurement</t>
  </si>
  <si>
    <t>Planning task</t>
  </si>
  <si>
    <t>A007</t>
  </si>
  <si>
    <t>Geotech verification / soil check (if required)</t>
  </si>
  <si>
    <t>Geotech</t>
  </si>
  <si>
    <t>Allowance if triggered</t>
  </si>
  <si>
    <t>A008</t>
  </si>
  <si>
    <t>Method statements / ITP approvals</t>
  </si>
  <si>
    <t>QA/QC</t>
  </si>
  <si>
    <t>Document approvals</t>
  </si>
  <si>
    <t>A009</t>
  </si>
  <si>
    <t>Set up yards (bar-bending, formwork &amp; storage)</t>
  </si>
  <si>
    <t>Enablement task</t>
  </si>
  <si>
    <t>A010</t>
  </si>
  <si>
    <t>Site clearing and access preparation</t>
  </si>
  <si>
    <t>Earthwork</t>
  </si>
  <si>
    <t>TE≈105.9/(60×1)=1.77 → rounded → 3 d (access/setup)</t>
  </si>
  <si>
    <t>A011</t>
  </si>
  <si>
    <t>Excavation to founding level per footing grid</t>
  </si>
  <si>
    <t>TE=82.8576/(12×1)=6.90 → 7 d (from Excel Excavation)</t>
  </si>
  <si>
    <t>A012</t>
  </si>
  <si>
    <t>Dewatering and temporary drainage (if required)</t>
  </si>
  <si>
    <t>Dewatering</t>
  </si>
  <si>
    <t>Contingency allowance</t>
  </si>
  <si>
    <t>A013</t>
  </si>
  <si>
    <t>PCC blinding under footings</t>
  </si>
  <si>
    <t>Concreting</t>
  </si>
  <si>
    <t>TE=1.5552/(8×1)=0.19 → 1 d (from Excel PCC)</t>
  </si>
  <si>
    <t>A014</t>
  </si>
  <si>
    <t>Footing formwork/boxing</t>
  </si>
  <si>
    <t>Formwork</t>
  </si>
  <si>
    <t>From Excel formwork footing subtotals; TE≈3 d</t>
  </si>
  <si>
    <t>A015</t>
  </si>
  <si>
    <t>Footing reinforcement placement</t>
  </si>
  <si>
    <t>Rebar</t>
  </si>
  <si>
    <t>TE=12/(6×1)=2 d</t>
  </si>
  <si>
    <t>A016</t>
  </si>
  <si>
    <t>Footing concreting</t>
  </si>
  <si>
    <t>Footing pour spread with blinding; keep 3 d for crew cycle</t>
  </si>
  <si>
    <t>A017</t>
  </si>
  <si>
    <t>Strip footing formwork</t>
  </si>
  <si>
    <t>Strike/stack allowance</t>
  </si>
  <si>
    <t>A018</t>
  </si>
  <si>
    <t>Backfill around footings in layers</t>
  </si>
  <si>
    <t>Backfill</t>
  </si>
  <si>
    <t>TE=10/(10×1)=1 d (local around pedestals)</t>
  </si>
  <si>
    <t>A019</t>
  </si>
  <si>
    <t>Column starter/pedestal shuttering</t>
  </si>
  <si>
    <t>TE=12/6=2 d</t>
  </si>
  <si>
    <t>A020</t>
  </si>
  <si>
    <t>Column starter/pedestal reinforcement</t>
  </si>
  <si>
    <t>A021</t>
  </si>
  <si>
    <t>Column starter/pedestal concreting</t>
  </si>
  <si>
    <t>Small pour; 1 d</t>
  </si>
  <si>
    <t>A022</t>
  </si>
  <si>
    <t>Plinth beam shuttering (per plinth layout)</t>
  </si>
  <si>
    <t>From Excel formwork plinth subtotals; TE≈4.7 → 5 d</t>
  </si>
  <si>
    <t>A023</t>
  </si>
  <si>
    <t>Plinth beam reinforcement</t>
  </si>
  <si>
    <t>TE≈1.9 → 2 d</t>
  </si>
  <si>
    <t>A024</t>
  </si>
  <si>
    <t>Plinth beam concreting</t>
  </si>
  <si>
    <t>TE≈0.5 → 1 d</t>
  </si>
  <si>
    <t>A025</t>
  </si>
  <si>
    <t>Plinth backfill and compaction</t>
  </si>
  <si>
    <t>TE=162.4537/(20×1)=8.12 → 9 d (Backfilling sheet total)</t>
  </si>
  <si>
    <t>A026</t>
  </si>
  <si>
    <t>Anti-termite treatment at plinth</t>
  </si>
  <si>
    <t>Chemical Treatment</t>
  </si>
  <si>
    <t>TE≈0.53 → 1 d</t>
  </si>
  <si>
    <t>A027</t>
  </si>
  <si>
    <t>PCC sub-base at ground floor level</t>
  </si>
  <si>
    <t>Drawing-based PCC; workbook has RCC separately</t>
  </si>
  <si>
    <t>A028</t>
  </si>
  <si>
    <t>Ground floor columns shuttering up to beam soffit</t>
  </si>
  <si>
    <t>A029</t>
  </si>
  <si>
    <t>Ground floor column reinforcement</t>
  </si>
  <si>
    <t>TE=2 d</t>
  </si>
  <si>
    <t>A030</t>
  </si>
  <si>
    <t>Ground floor column concreting</t>
  </si>
  <si>
    <t>TE≈0.6 → 1 d (RCC GF column vol)</t>
  </si>
  <si>
    <t>A031</t>
  </si>
  <si>
    <t>Ground floor beam and slab formwork</t>
  </si>
  <si>
    <t>TE=96.924/(12×1)=8.08 → 9 d</t>
  </si>
  <si>
    <t>A032</t>
  </si>
  <si>
    <t>Ground floor beam reinforcement</t>
  </si>
  <si>
    <t>TE≈2.9 → 3 d</t>
  </si>
  <si>
    <t>A033</t>
  </si>
  <si>
    <t>Ground floor slab reinforcement and MEP sleeves</t>
  </si>
  <si>
    <t>Rebar/MEP</t>
  </si>
  <si>
    <t>TE≈2.4 → 3 d (rebar + MEP)</t>
  </si>
  <si>
    <t>A034</t>
  </si>
  <si>
    <t>Ground floor beam and slab concreting</t>
  </si>
  <si>
    <t>A032,A033</t>
  </si>
  <si>
    <t>FS,FS</t>
  </si>
  <si>
    <t>0,0</t>
  </si>
  <si>
    <t>TE=15.238/6=2.54 → 3 d (RCC slab net pour)</t>
  </si>
  <si>
    <t>A035</t>
  </si>
  <si>
    <t>Stair flight GF→FF casting (waist/landing)</t>
  </si>
  <si>
    <t>A030,A034</t>
  </si>
  <si>
    <t>1,1</t>
  </si>
  <si>
    <t>TE≈0.34 → 1 d (RCC stairs + landing)</t>
  </si>
  <si>
    <t>A036</t>
  </si>
  <si>
    <t>First floor columns shuttering</t>
  </si>
  <si>
    <t>A037</t>
  </si>
  <si>
    <t>First floor column reinforcement</t>
  </si>
  <si>
    <t>A038</t>
  </si>
  <si>
    <t>First floor column concreting</t>
  </si>
  <si>
    <t>TE≈0.6 → 1 d</t>
  </si>
  <si>
    <t>A039</t>
  </si>
  <si>
    <t>First floor beam and slab formwork</t>
  </si>
  <si>
    <t>TE≈8.08 → 9 d</t>
  </si>
  <si>
    <t>A040</t>
  </si>
  <si>
    <t>First floor beam reinforcement</t>
  </si>
  <si>
    <t>A041</t>
  </si>
  <si>
    <t>First floor slab reinforcement and MEP sleeves</t>
  </si>
  <si>
    <t>TE≈2.4 → 3 d</t>
  </si>
  <si>
    <t>A042</t>
  </si>
  <si>
    <t>First floor beam and slab concreting</t>
  </si>
  <si>
    <t>A040,A041</t>
  </si>
  <si>
    <t>TE≈2.54 → 3 d</t>
  </si>
  <si>
    <t>A043</t>
  </si>
  <si>
    <t>Stair flight FF→SF casting</t>
  </si>
  <si>
    <t>A038,A042</t>
  </si>
  <si>
    <t>TE≈0.34 → 1 d</t>
  </si>
  <si>
    <t>A044</t>
  </si>
  <si>
    <t>Second floor columns shuttering</t>
  </si>
  <si>
    <t>TE=6/6=1 → 2 d for cycle consistency</t>
  </si>
  <si>
    <t>A045</t>
  </si>
  <si>
    <t>Second floor column reinforcement</t>
  </si>
  <si>
    <t>TE≈1 → 2 d for cycle consistency</t>
  </si>
  <si>
    <t>A046</t>
  </si>
  <si>
    <t>Second floor column concreting</t>
  </si>
  <si>
    <t>TE≈0.17 → 1 d</t>
  </si>
  <si>
    <t>A047</t>
  </si>
  <si>
    <t>Second floor beam and slab formwork</t>
  </si>
  <si>
    <t>TE=68.561/(12×1)=5.71 → 6 d (roof/mumty slab areas)</t>
  </si>
  <si>
    <t>A048</t>
  </si>
  <si>
    <t>Second floor beam reinforcement</t>
  </si>
  <si>
    <t>Allow 3 d for smaller beam set</t>
  </si>
  <si>
    <t>A049</t>
  </si>
  <si>
    <t>Second floor slab reinforcement and MEP sleeves</t>
  </si>
  <si>
    <t>TE≈1.7 → 3 d for coordination</t>
  </si>
  <si>
    <t>A050</t>
  </si>
  <si>
    <t>Second floor beam and slab concreting</t>
  </si>
  <si>
    <t>A048,A049</t>
  </si>
  <si>
    <t>TE=(68.561×0.15)/6 ≈1.71 → 2 d</t>
  </si>
  <si>
    <t>A051</t>
  </si>
  <si>
    <t>Stair flight SF→Terrace/Mumty casting</t>
  </si>
  <si>
    <t>A046,A050</t>
  </si>
  <si>
    <t>A052</t>
  </si>
  <si>
    <t>Mumty/terrace roof shuttering (beams/slab/chhajja)</t>
  </si>
  <si>
    <t>Same as A047 if separate package</t>
  </si>
  <si>
    <t>A053</t>
  </si>
  <si>
    <t>Mumty/terrace roof reinforcement and sleeves</t>
  </si>
  <si>
    <t>TE≈1.7 → 3 d</t>
  </si>
  <si>
    <t>A054</t>
  </si>
  <si>
    <t>Mumty/terrace slab concreting</t>
  </si>
  <si>
    <t>TE≈1.7 → 2 d</t>
  </si>
  <si>
    <t>A055</t>
  </si>
  <si>
    <t>Parapet and mumty wall masonry</t>
  </si>
  <si>
    <t>Masonry</t>
  </si>
  <si>
    <t>TE≈1.5 → 2 d</t>
  </si>
  <si>
    <t>A056</t>
  </si>
  <si>
    <t>Terrace waterproofing base preparation</t>
  </si>
  <si>
    <t>Waterproofing</t>
  </si>
  <si>
    <t>TE≈0.34 → 1 d; 7 d curing lag before WP</t>
  </si>
  <si>
    <t>A057</t>
  </si>
  <si>
    <t>Terrace waterproofing application</t>
  </si>
  <si>
    <t>TE≈0.46 → 1 d</t>
  </si>
  <si>
    <t>A058</t>
  </si>
  <si>
    <t>Terrace finishes/tiles and rainwater fittings</t>
  </si>
  <si>
    <t>Tiling</t>
  </si>
  <si>
    <t>TE≈2.86 → 3 d</t>
  </si>
  <si>
    <t>A059</t>
  </si>
  <si>
    <t>Ground floor masonry (external/internal, ducts)</t>
  </si>
  <si>
    <t>Drawing-based take-off retained (no masonry sheet)</t>
  </si>
  <si>
    <t>A060</t>
  </si>
  <si>
    <t>First floor masonry (external/internal)</t>
  </si>
  <si>
    <t>A042,A059</t>
  </si>
  <si>
    <t>0,2</t>
  </si>
  <si>
    <t>As above</t>
  </si>
  <si>
    <t>A061</t>
  </si>
  <si>
    <t>Second floor masonry (external/internal)</t>
  </si>
  <si>
    <t>A050,A060</t>
  </si>
  <si>
    <t>A062</t>
  </si>
  <si>
    <t>Mumty/store wall masonry</t>
  </si>
  <si>
    <t>A063</t>
  </si>
  <si>
    <t>Door and window frames install GF+FF</t>
  </si>
  <si>
    <t>A059,A060</t>
  </si>
  <si>
    <t>Joinery</t>
  </si>
  <si>
    <t>TE=5 d</t>
  </si>
  <si>
    <t>A064</t>
  </si>
  <si>
    <t>Door and window frames install SF+Mumty</t>
  </si>
  <si>
    <t>A061,A062</t>
  </si>
  <si>
    <t>TE=3 d</t>
  </si>
  <si>
    <t>A065</t>
  </si>
  <si>
    <t>Plumbing stacks and underground drainage tie-ins</t>
  </si>
  <si>
    <t>Plumbing</t>
  </si>
  <si>
    <t>Time-boxed UG works/testing</t>
  </si>
  <si>
    <t>A066</t>
  </si>
  <si>
    <t>Electrical conduits rough-in GF+FF</t>
  </si>
  <si>
    <t>A059,A063</t>
  </si>
  <si>
    <t>2,1</t>
  </si>
  <si>
    <t>Electrical</t>
  </si>
  <si>
    <t>TE≈6 d (2 floors @0.33 floor/day → ~6 d)</t>
  </si>
  <si>
    <t>A067</t>
  </si>
  <si>
    <t>Electrical conduits rough-in SF+Mumty</t>
  </si>
  <si>
    <t>A061,A064</t>
  </si>
  <si>
    <t>TE≈4.5 → 5 d</t>
  </si>
  <si>
    <t>A068</t>
  </si>
  <si>
    <t>Internal plaster GF+FF</t>
  </si>
  <si>
    <t>A063,A066</t>
  </si>
  <si>
    <t>2,2</t>
  </si>
  <si>
    <t>Plaster</t>
  </si>
  <si>
    <t>TE≈32.8 → 33 d</t>
  </si>
  <si>
    <t>A069</t>
  </si>
  <si>
    <t>Internal plaster SF+Mumty</t>
  </si>
  <si>
    <t>A064,A067,A068</t>
  </si>
  <si>
    <t>FS,FS,FS</t>
  </si>
  <si>
    <t>2,2,5</t>
  </si>
  <si>
    <t>TE≈16.4 → 17 d</t>
  </si>
  <si>
    <t>A070</t>
  </si>
  <si>
    <t>External plaster all elevations</t>
  </si>
  <si>
    <t>TE≈15.8 → 16 d</t>
  </si>
  <si>
    <t>A071</t>
  </si>
  <si>
    <t>Flooring (common areas all floors)</t>
  </si>
  <si>
    <t>A068,A069</t>
  </si>
  <si>
    <t>3,3</t>
  </si>
  <si>
    <t>TE≈13.2 → 14 d (areas from plans)</t>
  </si>
  <si>
    <t>A072</t>
  </si>
  <si>
    <t>Toilet waterproofing (all floors)</t>
  </si>
  <si>
    <t>TE≈2.8 → 4 d incl. cure margin</t>
  </si>
  <si>
    <t>A073</t>
  </si>
  <si>
    <t>Toilet floor screed and tiling (all floors)</t>
  </si>
  <si>
    <t>A072,A071</t>
  </si>
  <si>
    <t>2,0</t>
  </si>
  <si>
    <t>TE≈0.9 → 2 d</t>
  </si>
  <si>
    <t>A074</t>
  </si>
  <si>
    <t>Toilet wall dado tiling (all floors)</t>
  </si>
  <si>
    <t>TE≈3.1 → 4 d</t>
  </si>
  <si>
    <t>A075</t>
  </si>
  <si>
    <t>Toilet sanitary fixtures &amp; CP fittings (all floors)</t>
  </si>
  <si>
    <t>A073,A074</t>
  </si>
  <si>
    <t>Plumbing/CP</t>
  </si>
  <si>
    <t>TE≈3.3 → 4 d</t>
  </si>
  <si>
    <t>A076</t>
  </si>
  <si>
    <t>Door/window shutters and glazing (all floors)</t>
  </si>
  <si>
    <t>Joinery/Glazing</t>
  </si>
  <si>
    <t>TE=8 d</t>
  </si>
  <si>
    <t>A077</t>
  </si>
  <si>
    <t>Internal painting (all floors)</t>
  </si>
  <si>
    <t>A071,A075,A076</t>
  </si>
  <si>
    <t>3,2,2</t>
  </si>
  <si>
    <t>Painting</t>
  </si>
  <si>
    <t>TE≈7.1 → duration extended to 12 d for drying/sequence &amp; painting phases</t>
  </si>
  <si>
    <t>A078</t>
  </si>
  <si>
    <t>External works: ramp 1:5, approach, drainage tie-ins</t>
  </si>
  <si>
    <t>A070,A058</t>
  </si>
  <si>
    <t>FS,FF</t>
  </si>
  <si>
    <t>External Works</t>
  </si>
  <si>
    <t>TE=50/12≈4.17 → 6 d (site logistics buffer applied)</t>
  </si>
  <si>
    <t>A079</t>
  </si>
  <si>
    <t>Final cleaning and snag rectification</t>
  </si>
  <si>
    <t>A077,A078</t>
  </si>
  <si>
    <t>1,0</t>
  </si>
  <si>
    <t>Cleaning</t>
  </si>
  <si>
    <t>TE=12/4=3 → 4 d incl. snagging float</t>
  </si>
  <si>
    <t>A080</t>
  </si>
  <si>
    <t>Substantial completion and demobilization</t>
  </si>
  <si>
    <t>Completion/Demob</t>
  </si>
  <si>
    <t>—</t>
  </si>
  <si>
    <t>Admin / close-out phase, fixed 3 d</t>
  </si>
  <si>
    <t>Q</t>
  </si>
  <si>
    <t>A written summary of how the house project is scheduled or planned.</t>
  </si>
  <si>
    <t>Answer</t>
  </si>
  <si>
    <r>
      <t>The house is scheduled as a PDM network on a day time scale and 6‑day workweek, with deterministic durations computed by </t>
    </r>
    <r>
      <rPr>
        <sz val="11"/>
        <color rgb="FF000000"/>
        <rFont val="Times New Roman"/>
        <family val="1"/>
      </rPr>
      <t xml:space="preserve">TE=q/(p×n) </t>
    </r>
    <r>
      <rPr>
        <sz val="11"/>
        <color rgb="FF000000"/>
        <rFont val="Helvetica Neue"/>
        <family val="2"/>
      </rPr>
      <t>using take‑off quantities and labour output constants from IS 15883‑2 and IS 7272‑1.</t>
    </r>
  </si>
  <si>
    <t>Sequencing progresses substructure → three RC frame cycles per floor (columns → beams → slabs → stairs) → roof/mumty → masonry → frames/services → plaster/toilets → flooring/joinery/painting → external works → handover, aligned to the uploaded architectural/structural drawings.</t>
  </si>
  <si>
    <t>Logic uses FS/SS links with realistic lags for access and curing (e.g., 1–2 days between pours and next shuttering, 7 days before roof waterproofing) so durations remain productivity‑based and the critical path is auditable.</t>
  </si>
  <si>
    <t>Resource levelling limits concurrent demand to one formwork, one rebar, and one concreting gang, staggers trades with resource ties, and opens a second front only where workface allows safe parallelism.</t>
  </si>
  <si>
    <t>Progress is controlled on a weekly cycle with a Friday site cut‑off, Monday schedule refresh, and a rolling two‑week look‑ahead, with any logic changes documented in the basis‑of‑schedule.</t>
  </si>
  <si>
    <t>The schedule sheet auto‑calculates ES/EF while auxiliary columns (Duration_before_level, Crew_n, Crew_size_people) preserve traceability from workbook quantities to staffing assumptions and final levelled dates.</t>
  </si>
  <si>
    <t>List out what are the limitations of the schedule template that you have developed for this assignment.</t>
  </si>
  <si>
    <r>
      <t>Quantities combine workbook take‑offs and drawing-based inferences, so any design change or re‑measurement will alter </t>
    </r>
    <r>
      <rPr>
        <sz val="11"/>
        <color theme="1"/>
        <rFont val="Times New Roman"/>
        <family val="1"/>
      </rPr>
      <t xml:space="preserve">TE=q/(p×n) </t>
    </r>
    <r>
      <rPr>
        <sz val="11"/>
        <color theme="1"/>
        <rFont val="Helvetica Neue"/>
        <family val="2"/>
      </rPr>
      <t>durations and may shift the critical path</t>
    </r>
  </si>
  <si>
    <t>Productivities are converted from IS 7272‑1 labour output constants and rounded to small‑project gangs, so real site outputs and crew mixes can deviate and require recalibration.</t>
  </si>
  <si>
    <t>Resource leveling works by staggering activities and linking resources so that only one crew is assigned at a time (Crew_n = 1). This means the schedule assumes there’s only a single work front available. While this avoids overloading resources, it can also leave some capacity unused—unless we specifically allow multiple work fronts to run in parallel.</t>
  </si>
  <si>
    <t>Fixed lags are used to represent curing times, access delays, or weather buffers, but they don’t automatically adjust for changing conditions or different trade calendars. The schedule template relies on a single 6-day calendar at the day level, and it doesn’t account for shifts or overtime work.</t>
  </si>
  <si>
    <t>Some items are still outside the current scope—for example, certain procurement and approval steps, permanent utility connections, and specialized MEP works. If these are later brought into scope, additional activities and dependencies will need to be added to the schedule.</t>
  </si>
  <si>
    <t>Group Members</t>
  </si>
  <si>
    <t>Deepak Chaurasia</t>
  </si>
  <si>
    <t>Rahul</t>
  </si>
  <si>
    <t>Shreyansh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</si>
</sst>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1"/>
      <color rgb="FF000000"/>
      <name val="Arial"/>
      <family val="2"/>
    </font>
    <font>
      <sz val="24"/>
      <color theme="1"/>
      <name val="Aptos Narrow"/>
      <family val="2"/>
      <scheme val="minor"/>
    </font>
    <font>
      <b/>
      <sz val="11"/>
      <color rgb="FF000000"/>
      <name val="Arial"/>
      <family val="2"/>
    </font>
    <font>
      <b/>
      <sz val="11"/>
      <color theme="1"/>
      <name val="Arial"/>
      <family val="2"/>
    </font>
    <font>
      <sz val="16"/>
      <color theme="1"/>
      <name val="Helvetica Neue"/>
      <family val="2"/>
    </font>
    <font>
      <sz val="11"/>
      <color theme="1"/>
      <name val="Helvetica Neue"/>
      <family val="2"/>
    </font>
    <font>
      <b/>
      <sz val="11"/>
      <color theme="1"/>
      <name val="Helvetica Neue"/>
      <family val="2"/>
    </font>
    <font>
      <sz val="18"/>
      <color theme="1"/>
      <name val="Aptos Narrow"/>
      <family val="2"/>
      <scheme val="minor"/>
    </font>
    <font>
      <b/>
      <sz val="11"/>
      <color theme="1"/>
      <name val="Aptos Narrow"/>
      <family val="2"/>
      <scheme val="minor"/>
    </font>
    <font>
      <sz val="11"/>
      <color theme="1"/>
      <name val="Times New Roman"/>
      <family val="1"/>
    </font>
    <font>
      <sz val="10"/>
      <color rgb="FF000000"/>
      <name val="Aptos Narrow"/>
      <family val="2"/>
      <scheme val="minor"/>
    </font>
    <font>
      <sz val="11"/>
      <color rgb="FF000000"/>
      <name val="Aptos Narrow"/>
      <family val="2"/>
      <scheme val="minor"/>
    </font>
    <font>
      <sz val="11"/>
      <color rgb="FF000000"/>
      <name val="Helvetica Neue"/>
      <family val="2"/>
    </font>
    <font>
      <sz val="11"/>
      <color rgb="FF000000"/>
      <name val="Times New Roman"/>
      <family val="1"/>
    </font>
    <font>
      <b/>
      <sz val="18"/>
      <color theme="1"/>
      <name val="Aptos Narrow"/>
      <scheme val="minor"/>
    </font>
    <font>
      <sz val="16"/>
      <color theme="1"/>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1" fillId="0" borderId="0" xfId="0" applyFont="1" applyAlignment="1">
      <alignment wrapText="1"/>
    </xf>
    <xf numFmtId="0" fontId="2" fillId="2" borderId="0" xfId="0" applyFont="1" applyFill="1"/>
    <xf numFmtId="0" fontId="1" fillId="0" borderId="0" xfId="0" applyFont="1"/>
    <xf numFmtId="0" fontId="5" fillId="0" borderId="0" xfId="0" applyFont="1"/>
    <xf numFmtId="0" fontId="6" fillId="0" borderId="0" xfId="0" applyFont="1"/>
    <xf numFmtId="0" fontId="8" fillId="0" borderId="0" xfId="0" applyFont="1"/>
    <xf numFmtId="0" fontId="8" fillId="2" borderId="0" xfId="0" applyFont="1" applyFill="1" applyAlignment="1">
      <alignment wrapText="1"/>
    </xf>
    <xf numFmtId="0" fontId="9" fillId="0" borderId="0" xfId="0" applyFont="1" applyAlignment="1">
      <alignment horizontal="center"/>
    </xf>
    <xf numFmtId="0" fontId="0" fillId="0" borderId="0" xfId="0" applyAlignment="1">
      <alignment horizontal="center"/>
    </xf>
    <xf numFmtId="14" fontId="0" fillId="0" borderId="0" xfId="0" applyNumberFormat="1"/>
    <xf numFmtId="14" fontId="9" fillId="0" borderId="0" xfId="0" applyNumberFormat="1" applyFont="1" applyAlignment="1">
      <alignment horizontal="center"/>
    </xf>
    <xf numFmtId="14" fontId="0" fillId="0" borderId="0" xfId="0" applyNumberFormat="1" applyAlignment="1">
      <alignment horizontal="center" wrapText="1"/>
    </xf>
    <xf numFmtId="14" fontId="0" fillId="0" borderId="0" xfId="0" applyNumberFormat="1" applyAlignment="1">
      <alignment horizontal="center"/>
    </xf>
    <xf numFmtId="0" fontId="11" fillId="0" borderId="0" xfId="0" applyFont="1" applyAlignment="1">
      <alignment horizontal="center"/>
    </xf>
    <xf numFmtId="0" fontId="12" fillId="0" borderId="0" xfId="0" applyFont="1" applyAlignment="1">
      <alignment horizontal="center"/>
    </xf>
    <xf numFmtId="0" fontId="12" fillId="3"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8" fillId="2" borderId="0" xfId="0" applyFont="1" applyFill="1"/>
    <xf numFmtId="0" fontId="13" fillId="0" borderId="0" xfId="0" applyFont="1"/>
    <xf numFmtId="0" fontId="15" fillId="0" borderId="0" xfId="0" applyFont="1" applyAlignment="1">
      <alignment horizontal="center"/>
    </xf>
    <xf numFmtId="0" fontId="0" fillId="2" borderId="0" xfId="0" applyFill="1" applyAlignment="1">
      <alignment horizontal="center"/>
    </xf>
    <xf numFmtId="0" fontId="0" fillId="2" borderId="0" xfId="0" applyFill="1"/>
    <xf numFmtId="0" fontId="16" fillId="5" borderId="0" xfId="0" applyFont="1" applyFill="1"/>
    <xf numFmtId="0" fontId="0" fillId="5" borderId="0" xfId="0" applyFill="1"/>
  </cellXfs>
  <cellStyles count="1">
    <cellStyle name="Normal" xfId="0" builtinId="0"/>
  </cellStyles>
  <dxfs count="19">
    <dxf>
      <alignment horizontal="center"/>
    </dxf>
    <dxf>
      <alignment horizontal="center"/>
    </dxf>
    <dxf>
      <alignment horizontal="center"/>
    </dxf>
    <dxf>
      <font>
        <sz val="11"/>
      </font>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9" formatCode="m/d/yyyy"/>
      <alignment horizontal="center"/>
    </dxf>
    <dxf>
      <numFmt numFmtId="19" formatCode="m/d/yyyy"/>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theme="1"/>
        <name val="Aptos Narrow"/>
        <family val="2"/>
        <scheme val="minor"/>
      </font>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283862-450E-7E4D-A9C4-371C3AC03966}" name="Table4" displayName="Table4" ref="C6:S86" totalsRowShown="0" headerRowDxfId="18" dataDxfId="17">
  <autoFilter ref="C6:S86" xr:uid="{34283862-450E-7E4D-A9C4-371C3AC03966}"/>
  <tableColumns count="17">
    <tableColumn id="1" xr3:uid="{ECC1030A-ABEE-4D48-8EE6-FC404D7D5556}" name="Activity" dataDxfId="16"/>
    <tableColumn id="2" xr3:uid="{0175E73E-D553-014F-932B-9128D33C6EE9}" name="Description" dataDxfId="15"/>
    <tableColumn id="3" xr3:uid="{C03BE53C-0358-E54C-AB58-8AA14E70C3E7}" name="Duration (days)" dataDxfId="14"/>
    <tableColumn id="4" xr3:uid="{331B7D2C-6693-9245-BC5C-C538F878F23A}" name="Relationship" dataDxfId="13"/>
    <tableColumn id="5" xr3:uid="{36A810CE-E291-964C-9DD8-19715FE55F51}" name="ES" dataDxfId="12">
      <calculatedColumnFormula array="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calculatedColumnFormula>
    </tableColumn>
    <tableColumn id="6" xr3:uid="{AC6B3FA9-05E1-FE45-81CF-3C4E80972023}" name="EF" dataDxfId="11">
      <calculatedColumnFormula>Table4[[#This Row],[ES]] + Table4[[#This Row],[Duration (days)]]</calculatedColumnFormula>
    </tableColumn>
    <tableColumn id="7" xr3:uid="{D5957E54-A5C4-8D4E-88E6-F5BA7A7C1BD4}" name="Relation type" dataDxfId="10"/>
    <tableColumn id="8" xr3:uid="{EFFAC3EB-32EF-FC44-B390-DDA85937352F}" name="Lag" dataDxfId="9"/>
    <tableColumn id="9" xr3:uid="{B8C59B99-3BB3-7641-B863-77247084D564}" name="Work " dataDxfId="8"/>
    <tableColumn id="10" xr3:uid="{6A7FCC5E-2BC4-9C49-AB93-F4AC5FF51656}" name="Crew_n" dataDxfId="7"/>
    <tableColumn id="11" xr3:uid="{F2005D34-A91D-7841-BA25-C263FE4219DA}" name="Number of people per crew " dataDxfId="6"/>
    <tableColumn id="13" xr3:uid="{D87FF7C6-143F-314B-9DC1-4EE33E867039}" name="TE_calc_days" dataDxfId="5"/>
    <tableColumn id="14" xr3:uid="{AFFF38B3-807A-AC4B-8B6E-8C0535D4217C}" name="Calculations based on TE=q/(p x n)" dataDxfId="4"/>
    <tableColumn id="15" xr3:uid="{67E42961-8E25-AC4C-865F-3AEFB0324261}" name="Resources before levelling" dataDxfId="3"/>
    <tableColumn id="16" xr3:uid="{67E130AC-05F7-42A2-BF36-6C3C8CFB131D}" name="Resources after levelling" dataDxfId="2"/>
    <tableColumn id="17" xr3:uid="{EB6BEC14-5D1E-42CD-9378-B964C3B31CD0}" name="Duration before levelling" dataDxfId="1"/>
    <tableColumn id="18" xr3:uid="{4F853139-AE3E-44C9-9F72-D7DC9AA62811}" name="Duration after levelling"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53"/>
  <sheetViews>
    <sheetView topLeftCell="A49" zoomScale="158" workbookViewId="0">
      <selection activeCell="B13" sqref="B13"/>
    </sheetView>
  </sheetViews>
  <sheetFormatPr defaultColWidth="8.85546875" defaultRowHeight="15"/>
  <cols>
    <col min="2" max="2" width="255.7109375" customWidth="1"/>
  </cols>
  <sheetData>
    <row r="2" spans="1:2" ht="32.1">
      <c r="B2" s="3" t="s">
        <v>0</v>
      </c>
    </row>
    <row r="4" spans="1:2" ht="15.95">
      <c r="A4" t="s">
        <v>1</v>
      </c>
      <c r="B4" s="1" t="s">
        <v>2</v>
      </c>
    </row>
    <row r="5" spans="1:2" ht="15.95">
      <c r="A5" t="s">
        <v>3</v>
      </c>
      <c r="B5" s="1" t="s">
        <v>4</v>
      </c>
    </row>
    <row r="6" spans="1:2" ht="15.95">
      <c r="A6" t="s">
        <v>5</v>
      </c>
      <c r="B6" s="1" t="s">
        <v>6</v>
      </c>
    </row>
    <row r="7" spans="1:2" ht="15.95">
      <c r="A7" t="s">
        <v>7</v>
      </c>
      <c r="B7" s="1" t="s">
        <v>8</v>
      </c>
    </row>
    <row r="11" spans="1:2" ht="32.1">
      <c r="B11" s="3" t="s">
        <v>9</v>
      </c>
    </row>
    <row r="12" spans="1:2" hidden="1"/>
    <row r="13" spans="1:2" ht="21.95" customHeight="1">
      <c r="A13">
        <v>1</v>
      </c>
      <c r="B13" s="2" t="s">
        <v>10</v>
      </c>
    </row>
    <row r="14" spans="1:2">
      <c r="A14">
        <v>2</v>
      </c>
      <c r="B14" s="4" t="s">
        <v>11</v>
      </c>
    </row>
    <row r="15" spans="1:2">
      <c r="A15">
        <v>3</v>
      </c>
      <c r="B15" s="6" t="s">
        <v>12</v>
      </c>
    </row>
    <row r="16" spans="1:2">
      <c r="A16">
        <v>4</v>
      </c>
      <c r="B16" s="6" t="s">
        <v>13</v>
      </c>
    </row>
    <row r="17" spans="1:2">
      <c r="A17">
        <v>5</v>
      </c>
      <c r="B17" s="6" t="s">
        <v>14</v>
      </c>
    </row>
    <row r="18" spans="1:2">
      <c r="A18">
        <v>6</v>
      </c>
      <c r="B18" s="6" t="s">
        <v>15</v>
      </c>
    </row>
    <row r="19" spans="1:2">
      <c r="A19">
        <v>7</v>
      </c>
      <c r="B19" s="6" t="s">
        <v>16</v>
      </c>
    </row>
    <row r="20" spans="1:2">
      <c r="A20">
        <v>8</v>
      </c>
      <c r="B20" s="6" t="s">
        <v>17</v>
      </c>
    </row>
    <row r="21" spans="1:2">
      <c r="A21">
        <v>9</v>
      </c>
      <c r="B21" s="6" t="s">
        <v>18</v>
      </c>
    </row>
    <row r="22" spans="1:2">
      <c r="A22">
        <v>10</v>
      </c>
      <c r="B22" s="6" t="s">
        <v>19</v>
      </c>
    </row>
    <row r="23" spans="1:2">
      <c r="A23">
        <v>11</v>
      </c>
      <c r="B23" s="6" t="s">
        <v>20</v>
      </c>
    </row>
    <row r="24" spans="1:2">
      <c r="A24">
        <v>12</v>
      </c>
      <c r="B24" s="6" t="s">
        <v>21</v>
      </c>
    </row>
    <row r="25" spans="1:2">
      <c r="A25">
        <v>13</v>
      </c>
      <c r="B25" s="6" t="s">
        <v>22</v>
      </c>
    </row>
    <row r="26" spans="1:2" ht="14.1" customHeight="1">
      <c r="A26">
        <v>14</v>
      </c>
      <c r="B26" s="5" t="s">
        <v>23</v>
      </c>
    </row>
    <row r="27" spans="1:2">
      <c r="A27">
        <v>15</v>
      </c>
      <c r="B27" s="6" t="s">
        <v>24</v>
      </c>
    </row>
    <row r="28" spans="1:2">
      <c r="A28">
        <v>16</v>
      </c>
      <c r="B28" s="6" t="s">
        <v>25</v>
      </c>
    </row>
    <row r="29" spans="1:2">
      <c r="A29">
        <v>17</v>
      </c>
      <c r="B29" s="6" t="s">
        <v>26</v>
      </c>
    </row>
    <row r="31" spans="1:2" ht="24.95">
      <c r="A31" s="7" t="s">
        <v>1</v>
      </c>
      <c r="B31" s="8" t="s">
        <v>2</v>
      </c>
    </row>
    <row r="32" spans="1:2">
      <c r="B32" s="6" t="s">
        <v>27</v>
      </c>
    </row>
    <row r="33" spans="1:2">
      <c r="B33" s="6" t="s">
        <v>28</v>
      </c>
    </row>
    <row r="34" spans="1:2">
      <c r="B34" s="6" t="s">
        <v>29</v>
      </c>
    </row>
    <row r="35" spans="1:2">
      <c r="B35" s="6" t="s">
        <v>30</v>
      </c>
    </row>
    <row r="36" spans="1:2">
      <c r="B36" s="6" t="s">
        <v>31</v>
      </c>
    </row>
    <row r="38" spans="1:2" ht="24.95">
      <c r="A38" s="7" t="s">
        <v>3</v>
      </c>
      <c r="B38" s="8" t="s">
        <v>4</v>
      </c>
    </row>
    <row r="39" spans="1:2">
      <c r="B39" s="6" t="s">
        <v>32</v>
      </c>
    </row>
    <row r="40" spans="1:2">
      <c r="B40" s="6" t="s">
        <v>33</v>
      </c>
    </row>
    <row r="41" spans="1:2">
      <c r="B41" s="6"/>
    </row>
    <row r="43" spans="1:2" ht="24.95">
      <c r="A43" s="7" t="s">
        <v>5</v>
      </c>
      <c r="B43" s="8" t="s">
        <v>6</v>
      </c>
    </row>
    <row r="44" spans="1:2">
      <c r="B44" s="6" t="s">
        <v>34</v>
      </c>
    </row>
    <row r="45" spans="1:2">
      <c r="B45" s="6" t="s">
        <v>35</v>
      </c>
    </row>
    <row r="46" spans="1:2">
      <c r="B46" s="6" t="s">
        <v>36</v>
      </c>
    </row>
    <row r="49" spans="1:2" ht="24.95">
      <c r="A49" s="7" t="s">
        <v>7</v>
      </c>
      <c r="B49" s="8" t="s">
        <v>8</v>
      </c>
    </row>
    <row r="50" spans="1:2">
      <c r="B50" t="s">
        <v>37</v>
      </c>
    </row>
    <row r="51" spans="1:2">
      <c r="B51" s="6" t="s">
        <v>38</v>
      </c>
    </row>
    <row r="52" spans="1:2">
      <c r="B52" s="6" t="s">
        <v>39</v>
      </c>
    </row>
    <row r="53" spans="1:2">
      <c r="B53" s="6"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A3FA0-F819-074A-92DE-AF300B57F061}">
  <dimension ref="C2:S86"/>
  <sheetViews>
    <sheetView zoomScale="125" workbookViewId="0">
      <selection activeCell="P31" sqref="P31"/>
    </sheetView>
  </sheetViews>
  <sheetFormatPr defaultColWidth="11.42578125" defaultRowHeight="15"/>
  <cols>
    <col min="3" max="3" width="25.7109375" customWidth="1"/>
    <col min="4" max="4" width="49.85546875" customWidth="1"/>
    <col min="5" max="5" width="36.42578125" customWidth="1"/>
    <col min="6" max="6" width="34.140625" customWidth="1"/>
    <col min="7" max="7" width="43.42578125" style="11" customWidth="1"/>
    <col min="8" max="8" width="44" style="11" customWidth="1"/>
    <col min="9" max="9" width="22.85546875" customWidth="1"/>
    <col min="10" max="10" width="13" customWidth="1"/>
    <col min="11" max="11" width="34.42578125" customWidth="1"/>
    <col min="12" max="12" width="35.28515625" customWidth="1"/>
    <col min="13" max="13" width="33.42578125" customWidth="1"/>
    <col min="14" max="14" width="28.85546875" customWidth="1"/>
    <col min="15" max="15" width="54.28515625" customWidth="1"/>
    <col min="16" max="16" width="54" customWidth="1"/>
    <col min="17" max="17" width="28.28515625" customWidth="1"/>
    <col min="18" max="18" width="40" customWidth="1"/>
    <col min="19" max="19" width="28.42578125" customWidth="1"/>
    <col min="20" max="20" width="36.140625" customWidth="1"/>
  </cols>
  <sheetData>
    <row r="2" spans="3:19">
      <c r="L2" s="11">
        <v>45931</v>
      </c>
    </row>
    <row r="6" spans="3:19">
      <c r="C6" s="9" t="s">
        <v>41</v>
      </c>
      <c r="D6" s="9" t="s">
        <v>42</v>
      </c>
      <c r="E6" s="9" t="s">
        <v>43</v>
      </c>
      <c r="F6" s="9" t="s">
        <v>44</v>
      </c>
      <c r="G6" s="12" t="s">
        <v>45</v>
      </c>
      <c r="H6" s="12" t="s">
        <v>46</v>
      </c>
      <c r="I6" s="9" t="s">
        <v>47</v>
      </c>
      <c r="J6" s="9" t="s">
        <v>48</v>
      </c>
      <c r="K6" s="9" t="s">
        <v>49</v>
      </c>
      <c r="L6" s="9" t="s">
        <v>50</v>
      </c>
      <c r="M6" s="9" t="s">
        <v>51</v>
      </c>
      <c r="N6" s="9" t="s">
        <v>52</v>
      </c>
      <c r="O6" s="9" t="s">
        <v>53</v>
      </c>
      <c r="P6" s="9" t="s">
        <v>54</v>
      </c>
      <c r="Q6" s="9" t="s">
        <v>55</v>
      </c>
      <c r="R6" s="9" t="s">
        <v>56</v>
      </c>
      <c r="S6" s="9" t="s">
        <v>57</v>
      </c>
    </row>
    <row r="7" spans="3:19">
      <c r="C7" s="10" t="s">
        <v>58</v>
      </c>
      <c r="D7" s="10" t="s">
        <v>59</v>
      </c>
      <c r="E7" s="10">
        <v>5</v>
      </c>
      <c r="F7" s="10"/>
      <c r="G7" s="13" cm="1">
        <f t="array" ref="G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45931</v>
      </c>
      <c r="H7" s="14">
        <f>Table4[[#This Row],[ES]] + Table4[[#This Row],[Duration (days)]]</f>
        <v>45936</v>
      </c>
      <c r="I7" s="10"/>
      <c r="J7" s="10"/>
      <c r="K7" s="10" t="s">
        <v>60</v>
      </c>
      <c r="L7" s="10">
        <v>1</v>
      </c>
      <c r="M7" s="9">
        <v>4</v>
      </c>
      <c r="N7" s="15"/>
      <c r="O7" s="15" t="s">
        <v>61</v>
      </c>
      <c r="P7" s="16">
        <v>4</v>
      </c>
      <c r="Q7" s="9">
        <v>4</v>
      </c>
      <c r="R7" s="9">
        <v>5</v>
      </c>
      <c r="S7" s="10">
        <v>5</v>
      </c>
    </row>
    <row r="8" spans="3:19">
      <c r="C8" s="10" t="s">
        <v>62</v>
      </c>
      <c r="D8" s="10" t="s">
        <v>63</v>
      </c>
      <c r="E8" s="10">
        <v>3</v>
      </c>
      <c r="F8" s="10" t="s">
        <v>58</v>
      </c>
      <c r="G8" s="14" cm="1">
        <f t="array" ref="G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45936</v>
      </c>
      <c r="H8" s="14">
        <f>Table4[[#This Row],[ES]] + Table4[[#This Row],[Duration (days)]]</f>
        <v>45939</v>
      </c>
      <c r="I8" s="10" t="s">
        <v>64</v>
      </c>
      <c r="J8" s="10">
        <v>0</v>
      </c>
      <c r="K8" s="10" t="s">
        <v>65</v>
      </c>
      <c r="L8" s="10">
        <v>1</v>
      </c>
      <c r="M8" s="10">
        <v>3</v>
      </c>
      <c r="N8" s="15"/>
      <c r="O8" s="15" t="s">
        <v>66</v>
      </c>
      <c r="P8" s="16">
        <v>3</v>
      </c>
      <c r="Q8" s="10">
        <v>3</v>
      </c>
      <c r="R8" s="10">
        <v>3</v>
      </c>
      <c r="S8" s="10">
        <v>3</v>
      </c>
    </row>
    <row r="9" spans="3:19">
      <c r="C9" s="10" t="s">
        <v>67</v>
      </c>
      <c r="D9" s="10" t="s">
        <v>68</v>
      </c>
      <c r="E9" s="10">
        <v>10</v>
      </c>
      <c r="F9" s="10" t="s">
        <v>58</v>
      </c>
      <c r="G9" s="14" cm="1">
        <f t="array" ref="G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45931</v>
      </c>
      <c r="H9" s="14">
        <f>Table4[[#This Row],[ES]] + Table4[[#This Row],[Duration (days)]]</f>
        <v>45941</v>
      </c>
      <c r="I9" s="10" t="s">
        <v>69</v>
      </c>
      <c r="J9" s="10">
        <v>0</v>
      </c>
      <c r="K9" s="10" t="s">
        <v>70</v>
      </c>
      <c r="L9" s="10">
        <v>1</v>
      </c>
      <c r="M9" s="10">
        <v>2</v>
      </c>
      <c r="N9" s="15"/>
      <c r="O9" s="15" t="s">
        <v>71</v>
      </c>
      <c r="P9" s="16">
        <v>2</v>
      </c>
      <c r="Q9" s="10">
        <v>2</v>
      </c>
      <c r="R9" s="10">
        <v>10</v>
      </c>
      <c r="S9" s="10">
        <v>10</v>
      </c>
    </row>
    <row r="10" spans="3:19">
      <c r="C10" s="10" t="s">
        <v>72</v>
      </c>
      <c r="D10" s="10" t="s">
        <v>73</v>
      </c>
      <c r="E10" s="10">
        <v>3</v>
      </c>
      <c r="F10" s="10" t="s">
        <v>58</v>
      </c>
      <c r="G10" s="14" cm="1">
        <f t="array" ref="G1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45936</v>
      </c>
      <c r="H10" s="14">
        <f>Table4[[#This Row],[ES]] + Table4[[#This Row],[Duration (days)]]</f>
        <v>45939</v>
      </c>
      <c r="I10" s="10" t="s">
        <v>64</v>
      </c>
      <c r="J10" s="10">
        <v>0</v>
      </c>
      <c r="K10" s="10" t="s">
        <v>74</v>
      </c>
      <c r="L10" s="10">
        <v>1</v>
      </c>
      <c r="M10" s="10">
        <v>4</v>
      </c>
      <c r="N10" s="15"/>
      <c r="O10" s="15" t="s">
        <v>75</v>
      </c>
      <c r="P10" s="16">
        <v>4</v>
      </c>
      <c r="Q10" s="10">
        <v>4</v>
      </c>
      <c r="R10" s="10">
        <v>3</v>
      </c>
      <c r="S10" s="10">
        <v>3</v>
      </c>
    </row>
    <row r="11" spans="3:19">
      <c r="C11" s="10" t="s">
        <v>76</v>
      </c>
      <c r="D11" s="10" t="s">
        <v>77</v>
      </c>
      <c r="E11" s="10">
        <v>4</v>
      </c>
      <c r="F11" s="10" t="s">
        <v>58</v>
      </c>
      <c r="G11" s="14" cm="1">
        <f t="array" ref="G1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45936</v>
      </c>
      <c r="H11" s="14">
        <f>Table4[[#This Row],[ES]] + Table4[[#This Row],[Duration (days)]]</f>
        <v>45940</v>
      </c>
      <c r="I11" s="10" t="s">
        <v>64</v>
      </c>
      <c r="J11" s="10">
        <v>0</v>
      </c>
      <c r="K11" s="10" t="s">
        <v>78</v>
      </c>
      <c r="L11" s="10">
        <v>1</v>
      </c>
      <c r="M11" s="10">
        <v>4</v>
      </c>
      <c r="N11" s="15"/>
      <c r="O11" s="15" t="s">
        <v>75</v>
      </c>
      <c r="P11" s="16">
        <v>4</v>
      </c>
      <c r="Q11" s="10">
        <v>4</v>
      </c>
      <c r="R11" s="10">
        <v>4</v>
      </c>
      <c r="S11" s="10">
        <v>4</v>
      </c>
    </row>
    <row r="12" spans="3:19">
      <c r="C12" s="10" t="s">
        <v>79</v>
      </c>
      <c r="D12" s="10" t="s">
        <v>80</v>
      </c>
      <c r="E12" s="10">
        <v>4</v>
      </c>
      <c r="F12" s="10" t="s">
        <v>58</v>
      </c>
      <c r="G12" s="14" cm="1">
        <f t="array" ref="G1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45936</v>
      </c>
      <c r="H12" s="14">
        <f>Table4[[#This Row],[ES]] + Table4[[#This Row],[Duration (days)]]</f>
        <v>45940</v>
      </c>
      <c r="I12" s="10" t="s">
        <v>64</v>
      </c>
      <c r="J12" s="10">
        <v>0</v>
      </c>
      <c r="K12" s="10" t="s">
        <v>81</v>
      </c>
      <c r="L12" s="10">
        <v>1</v>
      </c>
      <c r="M12" s="10">
        <v>2</v>
      </c>
      <c r="N12" s="15"/>
      <c r="O12" s="15" t="s">
        <v>82</v>
      </c>
      <c r="P12" s="16">
        <v>2</v>
      </c>
      <c r="Q12" s="10">
        <v>2</v>
      </c>
      <c r="R12" s="10">
        <v>4</v>
      </c>
      <c r="S12" s="10">
        <v>4</v>
      </c>
    </row>
    <row r="13" spans="3:19">
      <c r="C13" s="10" t="s">
        <v>83</v>
      </c>
      <c r="D13" s="10" t="s">
        <v>84</v>
      </c>
      <c r="E13" s="10">
        <v>3</v>
      </c>
      <c r="F13" s="10" t="s">
        <v>58</v>
      </c>
      <c r="G13" s="14" cm="1">
        <f t="array" ref="G1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45936</v>
      </c>
      <c r="H13" s="14">
        <f>Table4[[#This Row],[ES]] + Table4[[#This Row],[Duration (days)]]</f>
        <v>45939</v>
      </c>
      <c r="I13" s="10" t="s">
        <v>64</v>
      </c>
      <c r="J13" s="10">
        <v>0</v>
      </c>
      <c r="K13" s="10" t="s">
        <v>85</v>
      </c>
      <c r="L13" s="10">
        <v>1</v>
      </c>
      <c r="M13" s="10">
        <v>3</v>
      </c>
      <c r="N13" s="15"/>
      <c r="O13" s="15" t="s">
        <v>86</v>
      </c>
      <c r="P13" s="16">
        <v>3</v>
      </c>
      <c r="Q13" s="10">
        <v>3</v>
      </c>
      <c r="R13" s="10">
        <v>3</v>
      </c>
      <c r="S13" s="10">
        <v>3</v>
      </c>
    </row>
    <row r="14" spans="3:19">
      <c r="C14" s="10" t="s">
        <v>87</v>
      </c>
      <c r="D14" s="10" t="s">
        <v>88</v>
      </c>
      <c r="E14" s="10">
        <v>3</v>
      </c>
      <c r="F14" s="10" t="s">
        <v>58</v>
      </c>
      <c r="G14" s="14" cm="1">
        <f t="array" ref="G1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45936</v>
      </c>
      <c r="H14" s="14">
        <f>Table4[[#This Row],[ES]] + Table4[[#This Row],[Duration (days)]]</f>
        <v>45939</v>
      </c>
      <c r="I14" s="10" t="s">
        <v>64</v>
      </c>
      <c r="J14" s="10">
        <v>0</v>
      </c>
      <c r="K14" s="10" t="s">
        <v>89</v>
      </c>
      <c r="L14" s="10">
        <v>1</v>
      </c>
      <c r="M14" s="10">
        <v>2</v>
      </c>
      <c r="N14" s="15"/>
      <c r="O14" s="15" t="s">
        <v>90</v>
      </c>
      <c r="P14" s="16">
        <v>2</v>
      </c>
      <c r="Q14" s="10">
        <v>2</v>
      </c>
      <c r="R14" s="10">
        <v>3</v>
      </c>
      <c r="S14" s="10">
        <v>3</v>
      </c>
    </row>
    <row r="15" spans="3:19">
      <c r="C15" s="10" t="s">
        <v>91</v>
      </c>
      <c r="D15" s="10" t="s">
        <v>92</v>
      </c>
      <c r="E15" s="10">
        <v>2</v>
      </c>
      <c r="F15" s="10" t="s">
        <v>58</v>
      </c>
      <c r="G15" s="14" cm="1">
        <f t="array" ref="G1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45936</v>
      </c>
      <c r="H15" s="14">
        <f>Table4[[#This Row],[ES]] + Table4[[#This Row],[Duration (days)]]</f>
        <v>45938</v>
      </c>
      <c r="I15" s="10" t="s">
        <v>64</v>
      </c>
      <c r="J15" s="10">
        <v>0</v>
      </c>
      <c r="K15" s="10" t="s">
        <v>60</v>
      </c>
      <c r="L15" s="10">
        <v>1</v>
      </c>
      <c r="M15" s="10">
        <v>4</v>
      </c>
      <c r="N15" s="15"/>
      <c r="O15" s="15" t="s">
        <v>93</v>
      </c>
      <c r="P15" s="16">
        <v>4</v>
      </c>
      <c r="Q15" s="10">
        <v>4</v>
      </c>
      <c r="R15" s="10">
        <v>2</v>
      </c>
      <c r="S15" s="10">
        <v>2</v>
      </c>
    </row>
    <row r="16" spans="3:19">
      <c r="C16" s="10" t="s">
        <v>94</v>
      </c>
      <c r="D16" s="10" t="s">
        <v>95</v>
      </c>
      <c r="E16" s="10">
        <v>3</v>
      </c>
      <c r="F16" s="10" t="s">
        <v>72</v>
      </c>
      <c r="G16" s="14" cm="1">
        <f t="array" ref="G1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45941</v>
      </c>
      <c r="H16" s="14">
        <f>Table4[[#This Row],[ES]] + Table4[[#This Row],[Duration (days)]]</f>
        <v>45944</v>
      </c>
      <c r="I16" s="10" t="s">
        <v>64</v>
      </c>
      <c r="J16" s="10">
        <v>2</v>
      </c>
      <c r="K16" s="10" t="s">
        <v>96</v>
      </c>
      <c r="L16" s="10">
        <v>1</v>
      </c>
      <c r="M16" s="10">
        <v>5</v>
      </c>
      <c r="N16" s="15">
        <v>1.8</v>
      </c>
      <c r="O16" s="15" t="s">
        <v>97</v>
      </c>
      <c r="P16" s="16">
        <v>5</v>
      </c>
      <c r="Q16" s="10">
        <v>5</v>
      </c>
      <c r="R16" s="19">
        <v>2</v>
      </c>
      <c r="S16" s="19">
        <v>3</v>
      </c>
    </row>
    <row r="17" spans="3:19">
      <c r="C17" s="10" t="s">
        <v>98</v>
      </c>
      <c r="D17" s="10" t="s">
        <v>99</v>
      </c>
      <c r="E17" s="10">
        <v>7</v>
      </c>
      <c r="F17" s="10" t="s">
        <v>94</v>
      </c>
      <c r="G17" s="14" cm="1">
        <f t="array" ref="G1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45946</v>
      </c>
      <c r="H17" s="14">
        <f>Table4[[#This Row],[ES]] + Table4[[#This Row],[Duration (days)]]</f>
        <v>45953</v>
      </c>
      <c r="I17" s="10" t="s">
        <v>64</v>
      </c>
      <c r="J17" s="10">
        <v>2</v>
      </c>
      <c r="K17" s="10" t="s">
        <v>96</v>
      </c>
      <c r="L17" s="10">
        <v>1</v>
      </c>
      <c r="M17" s="10">
        <v>6</v>
      </c>
      <c r="N17" s="15">
        <v>6.9</v>
      </c>
      <c r="O17" s="15" t="s">
        <v>100</v>
      </c>
      <c r="P17" s="16">
        <v>6</v>
      </c>
      <c r="Q17" s="10">
        <v>6</v>
      </c>
      <c r="R17" s="10">
        <v>7</v>
      </c>
      <c r="S17" s="10">
        <v>7</v>
      </c>
    </row>
    <row r="18" spans="3:19">
      <c r="C18" s="10" t="s">
        <v>101</v>
      </c>
      <c r="D18" s="10" t="s">
        <v>102</v>
      </c>
      <c r="E18" s="10">
        <v>3</v>
      </c>
      <c r="F18" s="10" t="s">
        <v>98</v>
      </c>
      <c r="G18" s="14" cm="1">
        <f t="array" ref="G1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45948</v>
      </c>
      <c r="H18" s="14">
        <f>Table4[[#This Row],[ES]] + Table4[[#This Row],[Duration (days)]]</f>
        <v>45951</v>
      </c>
      <c r="I18" s="10" t="s">
        <v>69</v>
      </c>
      <c r="J18" s="10">
        <v>2</v>
      </c>
      <c r="K18" s="10" t="s">
        <v>103</v>
      </c>
      <c r="L18" s="10">
        <v>1</v>
      </c>
      <c r="M18" s="10">
        <v>3</v>
      </c>
      <c r="N18" s="15"/>
      <c r="O18" s="15" t="s">
        <v>104</v>
      </c>
      <c r="P18" s="16">
        <v>3</v>
      </c>
      <c r="Q18" s="10">
        <v>3</v>
      </c>
      <c r="R18" s="10">
        <v>3</v>
      </c>
      <c r="S18" s="10">
        <v>3</v>
      </c>
    </row>
    <row r="19" spans="3:19">
      <c r="C19" s="10" t="s">
        <v>105</v>
      </c>
      <c r="D19" s="10" t="s">
        <v>106</v>
      </c>
      <c r="E19" s="10">
        <v>1</v>
      </c>
      <c r="F19" s="10" t="s">
        <v>98</v>
      </c>
      <c r="G19" s="14" cm="1">
        <f t="array" ref="G1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45955</v>
      </c>
      <c r="H19" s="14">
        <f>Table4[[#This Row],[ES]] + Table4[[#This Row],[Duration (days)]]</f>
        <v>45956</v>
      </c>
      <c r="I19" s="10" t="s">
        <v>64</v>
      </c>
      <c r="J19" s="10">
        <v>2</v>
      </c>
      <c r="K19" s="10" t="s">
        <v>107</v>
      </c>
      <c r="L19" s="10">
        <v>1</v>
      </c>
      <c r="M19" s="10">
        <v>6</v>
      </c>
      <c r="N19" s="15">
        <v>0.2</v>
      </c>
      <c r="O19" s="15" t="s">
        <v>108</v>
      </c>
      <c r="P19" s="16">
        <v>6</v>
      </c>
      <c r="Q19" s="10">
        <v>6</v>
      </c>
      <c r="R19" s="10">
        <v>1</v>
      </c>
      <c r="S19" s="10">
        <v>1</v>
      </c>
    </row>
    <row r="20" spans="3:19">
      <c r="C20" s="10" t="s">
        <v>109</v>
      </c>
      <c r="D20" s="10" t="s">
        <v>110</v>
      </c>
      <c r="E20" s="10">
        <v>3</v>
      </c>
      <c r="F20" s="10" t="s">
        <v>105</v>
      </c>
      <c r="G20" s="14" cm="1">
        <f t="array" ref="G2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45957</v>
      </c>
      <c r="H20" s="14">
        <f>Table4[[#This Row],[ES]] + Table4[[#This Row],[Duration (days)]]</f>
        <v>45960</v>
      </c>
      <c r="I20" s="10" t="s">
        <v>64</v>
      </c>
      <c r="J20" s="10">
        <v>1</v>
      </c>
      <c r="K20" s="10" t="s">
        <v>111</v>
      </c>
      <c r="L20" s="10">
        <v>1</v>
      </c>
      <c r="M20" s="10">
        <v>3</v>
      </c>
      <c r="N20" s="15">
        <v>3</v>
      </c>
      <c r="O20" s="15" t="s">
        <v>112</v>
      </c>
      <c r="P20" s="16">
        <v>3</v>
      </c>
      <c r="Q20" s="10">
        <v>3</v>
      </c>
      <c r="R20" s="10">
        <v>3</v>
      </c>
      <c r="S20" s="10">
        <v>3</v>
      </c>
    </row>
    <row r="21" spans="3:19">
      <c r="C21" s="10" t="s">
        <v>113</v>
      </c>
      <c r="D21" s="10" t="s">
        <v>114</v>
      </c>
      <c r="E21" s="10">
        <v>2</v>
      </c>
      <c r="F21" s="10" t="s">
        <v>109</v>
      </c>
      <c r="G21" s="14" cm="1">
        <f t="array" ref="G2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45958</v>
      </c>
      <c r="H21" s="14">
        <f>Table4[[#This Row],[ES]] + Table4[[#This Row],[Duration (days)]]</f>
        <v>45960</v>
      </c>
      <c r="I21" s="10" t="s">
        <v>69</v>
      </c>
      <c r="J21" s="10">
        <v>1</v>
      </c>
      <c r="K21" s="10" t="s">
        <v>115</v>
      </c>
      <c r="L21" s="10">
        <v>1</v>
      </c>
      <c r="M21" s="10">
        <v>4</v>
      </c>
      <c r="N21" s="15">
        <v>2</v>
      </c>
      <c r="O21" s="15" t="s">
        <v>116</v>
      </c>
      <c r="P21" s="16">
        <v>4</v>
      </c>
      <c r="Q21" s="10">
        <v>4</v>
      </c>
      <c r="R21" s="10">
        <v>2</v>
      </c>
      <c r="S21" s="10">
        <v>2</v>
      </c>
    </row>
    <row r="22" spans="3:19">
      <c r="C22" s="10" t="s">
        <v>117</v>
      </c>
      <c r="D22" s="10" t="s">
        <v>118</v>
      </c>
      <c r="E22" s="10">
        <v>3</v>
      </c>
      <c r="F22" s="10" t="s">
        <v>113</v>
      </c>
      <c r="G22" s="14" cm="1">
        <f t="array" ref="G2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45960</v>
      </c>
      <c r="H22" s="14">
        <f>Table4[[#This Row],[ES]] + Table4[[#This Row],[Duration (days)]]</f>
        <v>45963</v>
      </c>
      <c r="I22" s="10" t="s">
        <v>64</v>
      </c>
      <c r="J22" s="10">
        <v>0</v>
      </c>
      <c r="K22" s="10" t="s">
        <v>107</v>
      </c>
      <c r="L22" s="10">
        <v>1</v>
      </c>
      <c r="M22" s="10">
        <v>8</v>
      </c>
      <c r="N22" s="15">
        <v>3</v>
      </c>
      <c r="O22" s="15" t="s">
        <v>119</v>
      </c>
      <c r="P22" s="16">
        <v>8</v>
      </c>
      <c r="Q22" s="10">
        <v>8</v>
      </c>
      <c r="R22" s="10">
        <v>3</v>
      </c>
      <c r="S22" s="10">
        <v>3</v>
      </c>
    </row>
    <row r="23" spans="3:19">
      <c r="C23" s="10" t="s">
        <v>120</v>
      </c>
      <c r="D23" s="10" t="s">
        <v>121</v>
      </c>
      <c r="E23" s="10">
        <v>1</v>
      </c>
      <c r="F23" s="10" t="s">
        <v>117</v>
      </c>
      <c r="G23" s="14" cm="1">
        <f t="array" ref="G2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45964</v>
      </c>
      <c r="H23" s="14">
        <f>Table4[[#This Row],[ES]] + Table4[[#This Row],[Duration (days)]]</f>
        <v>45965</v>
      </c>
      <c r="I23" s="10" t="s">
        <v>64</v>
      </c>
      <c r="J23" s="10">
        <v>1</v>
      </c>
      <c r="K23" s="10" t="s">
        <v>111</v>
      </c>
      <c r="L23" s="10">
        <v>1</v>
      </c>
      <c r="M23" s="10">
        <v>3</v>
      </c>
      <c r="N23" s="15"/>
      <c r="O23" s="15" t="s">
        <v>122</v>
      </c>
      <c r="P23" s="16">
        <v>3</v>
      </c>
      <c r="Q23" s="10">
        <v>3</v>
      </c>
      <c r="R23" s="10">
        <v>1</v>
      </c>
      <c r="S23" s="10">
        <v>1</v>
      </c>
    </row>
    <row r="24" spans="3:19">
      <c r="C24" s="10" t="s">
        <v>123</v>
      </c>
      <c r="D24" s="10" t="s">
        <v>124</v>
      </c>
      <c r="E24" s="10">
        <v>1</v>
      </c>
      <c r="F24" s="10" t="s">
        <v>120</v>
      </c>
      <c r="G24" s="14" cm="1">
        <f t="array" ref="G2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45966</v>
      </c>
      <c r="H24" s="14">
        <f>Table4[[#This Row],[ES]] + Table4[[#This Row],[Duration (days)]]</f>
        <v>45967</v>
      </c>
      <c r="I24" s="10" t="s">
        <v>64</v>
      </c>
      <c r="J24" s="10">
        <v>1</v>
      </c>
      <c r="K24" s="10" t="s">
        <v>125</v>
      </c>
      <c r="L24" s="10">
        <v>1</v>
      </c>
      <c r="M24" s="10">
        <v>6</v>
      </c>
      <c r="N24" s="15">
        <v>1</v>
      </c>
      <c r="O24" s="15" t="s">
        <v>126</v>
      </c>
      <c r="P24" s="16">
        <v>6</v>
      </c>
      <c r="Q24" s="10">
        <v>6</v>
      </c>
      <c r="R24" s="10">
        <v>1</v>
      </c>
      <c r="S24" s="10">
        <v>1</v>
      </c>
    </row>
    <row r="25" spans="3:19">
      <c r="C25" s="10" t="s">
        <v>127</v>
      </c>
      <c r="D25" s="10" t="s">
        <v>128</v>
      </c>
      <c r="E25" s="10">
        <v>2</v>
      </c>
      <c r="F25" s="10" t="s">
        <v>117</v>
      </c>
      <c r="G25" s="14" cm="1">
        <f t="array" ref="G2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45964</v>
      </c>
      <c r="H25" s="14">
        <f>Table4[[#This Row],[ES]] + Table4[[#This Row],[Duration (days)]]</f>
        <v>45966</v>
      </c>
      <c r="I25" s="10" t="s">
        <v>64</v>
      </c>
      <c r="J25" s="10">
        <v>1</v>
      </c>
      <c r="K25" s="10" t="s">
        <v>111</v>
      </c>
      <c r="L25" s="10">
        <v>1</v>
      </c>
      <c r="M25" s="10">
        <v>3</v>
      </c>
      <c r="N25" s="15">
        <v>2</v>
      </c>
      <c r="O25" s="15" t="s">
        <v>129</v>
      </c>
      <c r="P25" s="16">
        <v>3</v>
      </c>
      <c r="Q25" s="10">
        <v>3</v>
      </c>
      <c r="R25" s="10">
        <v>2</v>
      </c>
      <c r="S25" s="10">
        <v>2</v>
      </c>
    </row>
    <row r="26" spans="3:19">
      <c r="C26" s="10" t="s">
        <v>130</v>
      </c>
      <c r="D26" s="10" t="s">
        <v>131</v>
      </c>
      <c r="E26" s="10">
        <v>2</v>
      </c>
      <c r="F26" s="10" t="s">
        <v>127</v>
      </c>
      <c r="G26" s="14" cm="1">
        <f t="array" ref="G2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45965</v>
      </c>
      <c r="H26" s="14">
        <f>Table4[[#This Row],[ES]] + Table4[[#This Row],[Duration (days)]]</f>
        <v>45967</v>
      </c>
      <c r="I26" s="10" t="s">
        <v>69</v>
      </c>
      <c r="J26" s="10">
        <v>1</v>
      </c>
      <c r="K26" s="10" t="s">
        <v>115</v>
      </c>
      <c r="L26" s="10">
        <v>1</v>
      </c>
      <c r="M26" s="10">
        <v>4</v>
      </c>
      <c r="N26" s="15">
        <v>2</v>
      </c>
      <c r="O26" s="15" t="s">
        <v>129</v>
      </c>
      <c r="P26" s="16">
        <v>4</v>
      </c>
      <c r="Q26" s="10">
        <v>4</v>
      </c>
      <c r="R26" s="10">
        <v>2</v>
      </c>
      <c r="S26" s="10">
        <v>2</v>
      </c>
    </row>
    <row r="27" spans="3:19">
      <c r="C27" s="10" t="s">
        <v>132</v>
      </c>
      <c r="D27" s="10" t="s">
        <v>133</v>
      </c>
      <c r="E27" s="10">
        <v>1</v>
      </c>
      <c r="F27" s="10" t="s">
        <v>130</v>
      </c>
      <c r="G27" s="14" cm="1">
        <f t="array" ref="G2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45967</v>
      </c>
      <c r="H27" s="14">
        <f>Table4[[#This Row],[ES]] + Table4[[#This Row],[Duration (days)]]</f>
        <v>45968</v>
      </c>
      <c r="I27" s="10" t="s">
        <v>64</v>
      </c>
      <c r="J27" s="10">
        <v>0</v>
      </c>
      <c r="K27" s="10" t="s">
        <v>107</v>
      </c>
      <c r="L27" s="10">
        <v>1</v>
      </c>
      <c r="M27" s="10">
        <v>6</v>
      </c>
      <c r="N27" s="15">
        <v>0.5</v>
      </c>
      <c r="O27" s="15" t="s">
        <v>134</v>
      </c>
      <c r="P27" s="16">
        <v>6</v>
      </c>
      <c r="Q27" s="10">
        <v>6</v>
      </c>
      <c r="R27" s="10">
        <v>1</v>
      </c>
      <c r="S27" s="10">
        <v>1</v>
      </c>
    </row>
    <row r="28" spans="3:19">
      <c r="C28" s="10" t="s">
        <v>135</v>
      </c>
      <c r="D28" s="10" t="s">
        <v>136</v>
      </c>
      <c r="E28" s="10">
        <v>5</v>
      </c>
      <c r="F28" s="10" t="s">
        <v>132</v>
      </c>
      <c r="G28" s="14" cm="1">
        <f t="array" ref="G2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45969</v>
      </c>
      <c r="H28" s="14">
        <f>Table4[[#This Row],[ES]] + Table4[[#This Row],[Duration (days)]]</f>
        <v>45974</v>
      </c>
      <c r="I28" s="10" t="s">
        <v>64</v>
      </c>
      <c r="J28" s="10">
        <v>1</v>
      </c>
      <c r="K28" s="10" t="s">
        <v>111</v>
      </c>
      <c r="L28" s="10">
        <v>1</v>
      </c>
      <c r="M28" s="10">
        <v>3</v>
      </c>
      <c r="N28" s="15">
        <v>4.7</v>
      </c>
      <c r="O28" s="15" t="s">
        <v>137</v>
      </c>
      <c r="P28" s="16">
        <v>3</v>
      </c>
      <c r="Q28" s="10">
        <v>3</v>
      </c>
      <c r="R28" s="10">
        <v>5</v>
      </c>
      <c r="S28" s="10">
        <v>5</v>
      </c>
    </row>
    <row r="29" spans="3:19">
      <c r="C29" s="10" t="s">
        <v>138</v>
      </c>
      <c r="D29" s="10" t="s">
        <v>139</v>
      </c>
      <c r="E29" s="10">
        <v>2</v>
      </c>
      <c r="F29" s="10" t="s">
        <v>135</v>
      </c>
      <c r="G29" s="14" cm="1">
        <f t="array" ref="G2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45970</v>
      </c>
      <c r="H29" s="14">
        <f>Table4[[#This Row],[ES]] + Table4[[#This Row],[Duration (days)]]</f>
        <v>45972</v>
      </c>
      <c r="I29" s="10" t="s">
        <v>69</v>
      </c>
      <c r="J29" s="10">
        <v>1</v>
      </c>
      <c r="K29" s="10" t="s">
        <v>115</v>
      </c>
      <c r="L29" s="10">
        <v>1</v>
      </c>
      <c r="M29" s="10">
        <v>4</v>
      </c>
      <c r="N29" s="15">
        <v>1.9</v>
      </c>
      <c r="O29" s="15" t="s">
        <v>140</v>
      </c>
      <c r="P29" s="16">
        <v>4</v>
      </c>
      <c r="Q29" s="10">
        <v>4</v>
      </c>
      <c r="R29" s="10">
        <v>2</v>
      </c>
      <c r="S29" s="10">
        <v>2</v>
      </c>
    </row>
    <row r="30" spans="3:19">
      <c r="C30" s="10" t="s">
        <v>141</v>
      </c>
      <c r="D30" s="10" t="s">
        <v>142</v>
      </c>
      <c r="E30" s="10">
        <v>1</v>
      </c>
      <c r="F30" s="10" t="s">
        <v>138</v>
      </c>
      <c r="G30" s="14" cm="1">
        <f t="array" ref="G3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45972</v>
      </c>
      <c r="H30" s="14">
        <f>Table4[[#This Row],[ES]] + Table4[[#This Row],[Duration (days)]]</f>
        <v>45973</v>
      </c>
      <c r="I30" s="10" t="s">
        <v>64</v>
      </c>
      <c r="J30" s="10">
        <v>0</v>
      </c>
      <c r="K30" s="10" t="s">
        <v>107</v>
      </c>
      <c r="L30" s="10">
        <v>1</v>
      </c>
      <c r="M30" s="10">
        <v>8</v>
      </c>
      <c r="N30" s="15">
        <v>0.5</v>
      </c>
      <c r="O30" s="15" t="s">
        <v>143</v>
      </c>
      <c r="P30" s="16">
        <v>8</v>
      </c>
      <c r="Q30" s="10">
        <v>8</v>
      </c>
      <c r="R30" s="10">
        <v>1</v>
      </c>
      <c r="S30" s="10">
        <v>1</v>
      </c>
    </row>
    <row r="31" spans="3:19">
      <c r="C31" s="10" t="s">
        <v>144</v>
      </c>
      <c r="D31" s="10" t="s">
        <v>145</v>
      </c>
      <c r="E31" s="10">
        <v>9</v>
      </c>
      <c r="F31" s="10" t="s">
        <v>141</v>
      </c>
      <c r="G31" s="14" cm="1">
        <f t="array" ref="G3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45975</v>
      </c>
      <c r="H31" s="14">
        <f>Table4[[#This Row],[ES]] + Table4[[#This Row],[Duration (days)]]</f>
        <v>45984</v>
      </c>
      <c r="I31" s="10" t="s">
        <v>64</v>
      </c>
      <c r="J31" s="10">
        <v>2</v>
      </c>
      <c r="K31" s="10" t="s">
        <v>125</v>
      </c>
      <c r="L31" s="10">
        <v>1</v>
      </c>
      <c r="M31" s="10">
        <v>6</v>
      </c>
      <c r="N31" s="15">
        <v>8.1</v>
      </c>
      <c r="O31" s="15" t="s">
        <v>146</v>
      </c>
      <c r="P31" s="16">
        <v>6</v>
      </c>
      <c r="Q31" s="10">
        <v>6</v>
      </c>
      <c r="R31" s="10">
        <v>9</v>
      </c>
      <c r="S31" s="10">
        <v>9</v>
      </c>
    </row>
    <row r="32" spans="3:19">
      <c r="C32" s="10" t="s">
        <v>147</v>
      </c>
      <c r="D32" s="10" t="s">
        <v>148</v>
      </c>
      <c r="E32" s="10">
        <v>1</v>
      </c>
      <c r="F32" s="10" t="s">
        <v>144</v>
      </c>
      <c r="G32" s="14" cm="1">
        <f t="array" ref="G3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45984</v>
      </c>
      <c r="H32" s="14">
        <f>Table4[[#This Row],[ES]] + Table4[[#This Row],[Duration (days)]]</f>
        <v>45985</v>
      </c>
      <c r="I32" s="10" t="s">
        <v>64</v>
      </c>
      <c r="J32" s="10">
        <v>0</v>
      </c>
      <c r="K32" s="10" t="s">
        <v>149</v>
      </c>
      <c r="L32" s="10">
        <v>1</v>
      </c>
      <c r="M32" s="10">
        <v>3</v>
      </c>
      <c r="N32" s="15">
        <v>0.5</v>
      </c>
      <c r="O32" s="15" t="s">
        <v>150</v>
      </c>
      <c r="P32" s="16">
        <v>3</v>
      </c>
      <c r="Q32" s="10">
        <v>3</v>
      </c>
      <c r="R32" s="10">
        <v>1</v>
      </c>
      <c r="S32" s="10">
        <v>1</v>
      </c>
    </row>
    <row r="33" spans="3:19">
      <c r="C33" s="10" t="s">
        <v>151</v>
      </c>
      <c r="D33" s="10" t="s">
        <v>152</v>
      </c>
      <c r="E33" s="10">
        <v>2</v>
      </c>
      <c r="F33" s="10" t="s">
        <v>147</v>
      </c>
      <c r="G33" s="14" cm="1">
        <f t="array" ref="G3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45985</v>
      </c>
      <c r="H33" s="14">
        <f>Table4[[#This Row],[ES]] + Table4[[#This Row],[Duration (days)]]</f>
        <v>45987</v>
      </c>
      <c r="I33" s="10" t="s">
        <v>64</v>
      </c>
      <c r="J33" s="10">
        <v>0</v>
      </c>
      <c r="K33" s="10" t="s">
        <v>107</v>
      </c>
      <c r="L33" s="10">
        <v>1</v>
      </c>
      <c r="M33" s="10">
        <v>4</v>
      </c>
      <c r="N33" s="15">
        <v>1.3</v>
      </c>
      <c r="O33" s="15" t="s">
        <v>153</v>
      </c>
      <c r="P33" s="17">
        <v>6</v>
      </c>
      <c r="Q33" s="18">
        <v>4</v>
      </c>
      <c r="R33" s="10">
        <v>2</v>
      </c>
      <c r="S33" s="10">
        <v>2</v>
      </c>
    </row>
    <row r="34" spans="3:19">
      <c r="C34" s="10" t="s">
        <v>154</v>
      </c>
      <c r="D34" s="10" t="s">
        <v>155</v>
      </c>
      <c r="E34" s="10">
        <v>2</v>
      </c>
      <c r="F34" s="10" t="s">
        <v>141</v>
      </c>
      <c r="G34" s="14" cm="1">
        <f t="array" ref="G3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45974</v>
      </c>
      <c r="H34" s="14">
        <f>Table4[[#This Row],[ES]] + Table4[[#This Row],[Duration (days)]]</f>
        <v>45976</v>
      </c>
      <c r="I34" s="10" t="s">
        <v>64</v>
      </c>
      <c r="J34" s="10">
        <v>1</v>
      </c>
      <c r="K34" s="10" t="s">
        <v>111</v>
      </c>
      <c r="L34" s="10">
        <v>1</v>
      </c>
      <c r="M34" s="10">
        <v>8</v>
      </c>
      <c r="N34" s="15">
        <v>2</v>
      </c>
      <c r="O34" s="15" t="s">
        <v>129</v>
      </c>
      <c r="P34" s="17">
        <v>3</v>
      </c>
      <c r="Q34" s="18">
        <v>8</v>
      </c>
      <c r="R34" s="10">
        <v>2</v>
      </c>
      <c r="S34" s="10">
        <v>2</v>
      </c>
    </row>
    <row r="35" spans="3:19">
      <c r="C35" s="10" t="s">
        <v>156</v>
      </c>
      <c r="D35" s="10" t="s">
        <v>157</v>
      </c>
      <c r="E35" s="10">
        <v>2</v>
      </c>
      <c r="F35" s="10" t="s">
        <v>154</v>
      </c>
      <c r="G35" s="14" cm="1">
        <f t="array" ref="G3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45975</v>
      </c>
      <c r="H35" s="14">
        <f>Table4[[#This Row],[ES]] + Table4[[#This Row],[Duration (days)]]</f>
        <v>45977</v>
      </c>
      <c r="I35" s="10" t="s">
        <v>69</v>
      </c>
      <c r="J35" s="10">
        <v>1</v>
      </c>
      <c r="K35" s="10" t="s">
        <v>115</v>
      </c>
      <c r="L35" s="10">
        <v>1</v>
      </c>
      <c r="M35" s="10">
        <v>3</v>
      </c>
      <c r="N35" s="15">
        <v>2</v>
      </c>
      <c r="O35" s="15" t="s">
        <v>158</v>
      </c>
      <c r="P35" s="17">
        <v>4</v>
      </c>
      <c r="Q35" s="18">
        <v>3</v>
      </c>
      <c r="R35" s="10">
        <v>2</v>
      </c>
      <c r="S35" s="10">
        <v>2</v>
      </c>
    </row>
    <row r="36" spans="3:19">
      <c r="C36" s="10" t="s">
        <v>159</v>
      </c>
      <c r="D36" s="10" t="s">
        <v>160</v>
      </c>
      <c r="E36" s="10">
        <v>1</v>
      </c>
      <c r="F36" s="10" t="s">
        <v>156</v>
      </c>
      <c r="G36" s="14" cm="1">
        <f t="array" ref="G3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45977</v>
      </c>
      <c r="H36" s="14">
        <f>Table4[[#This Row],[ES]] + Table4[[#This Row],[Duration (days)]]</f>
        <v>45978</v>
      </c>
      <c r="I36" s="10" t="s">
        <v>64</v>
      </c>
      <c r="J36" s="10">
        <v>0</v>
      </c>
      <c r="K36" s="10" t="s">
        <v>107</v>
      </c>
      <c r="L36" s="10">
        <v>1</v>
      </c>
      <c r="M36" s="10">
        <v>6</v>
      </c>
      <c r="N36" s="15">
        <v>0.6</v>
      </c>
      <c r="O36" s="15" t="s">
        <v>161</v>
      </c>
      <c r="P36" s="17">
        <v>8</v>
      </c>
      <c r="Q36" s="18">
        <v>6</v>
      </c>
      <c r="R36" s="10">
        <v>1</v>
      </c>
      <c r="S36" s="10">
        <v>1</v>
      </c>
    </row>
    <row r="37" spans="3:19">
      <c r="C37" s="10" t="s">
        <v>162</v>
      </c>
      <c r="D37" s="10" t="s">
        <v>163</v>
      </c>
      <c r="E37" s="10">
        <v>9</v>
      </c>
      <c r="F37" s="10" t="s">
        <v>159</v>
      </c>
      <c r="G37" s="14" cm="1">
        <f t="array" ref="G3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45979</v>
      </c>
      <c r="H37" s="14">
        <f>Table4[[#This Row],[ES]] + Table4[[#This Row],[Duration (days)]]</f>
        <v>45988</v>
      </c>
      <c r="I37" s="10" t="s">
        <v>64</v>
      </c>
      <c r="J37" s="10">
        <v>1</v>
      </c>
      <c r="K37" s="10" t="s">
        <v>111</v>
      </c>
      <c r="L37" s="10">
        <v>1</v>
      </c>
      <c r="M37" s="10">
        <v>6</v>
      </c>
      <c r="N37" s="15">
        <v>8.1</v>
      </c>
      <c r="O37" s="15" t="s">
        <v>164</v>
      </c>
      <c r="P37" s="17">
        <v>3</v>
      </c>
      <c r="Q37" s="18">
        <v>6</v>
      </c>
      <c r="R37" s="10">
        <v>9</v>
      </c>
      <c r="S37" s="10">
        <v>9</v>
      </c>
    </row>
    <row r="38" spans="3:19">
      <c r="C38" s="10" t="s">
        <v>165</v>
      </c>
      <c r="D38" s="10" t="s">
        <v>166</v>
      </c>
      <c r="E38" s="10">
        <v>3</v>
      </c>
      <c r="F38" s="10" t="s">
        <v>162</v>
      </c>
      <c r="G38" s="14" cm="1">
        <f t="array" ref="G3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45987</v>
      </c>
      <c r="H38" s="14">
        <f>Table4[[#This Row],[ES]] + Table4[[#This Row],[Duration (days)]]</f>
        <v>45990</v>
      </c>
      <c r="I38" s="10" t="s">
        <v>69</v>
      </c>
      <c r="J38" s="10">
        <v>8</v>
      </c>
      <c r="K38" s="10" t="s">
        <v>115</v>
      </c>
      <c r="L38" s="10">
        <v>1</v>
      </c>
      <c r="M38" s="10">
        <v>10</v>
      </c>
      <c r="N38" s="15">
        <v>2.9</v>
      </c>
      <c r="O38" s="15" t="s">
        <v>167</v>
      </c>
      <c r="P38" s="17">
        <v>6</v>
      </c>
      <c r="Q38" s="18">
        <v>10</v>
      </c>
      <c r="R38" s="10">
        <v>3</v>
      </c>
      <c r="S38" s="10">
        <v>3</v>
      </c>
    </row>
    <row r="39" spans="3:19">
      <c r="C39" s="10" t="s">
        <v>168</v>
      </c>
      <c r="D39" s="10" t="s">
        <v>169</v>
      </c>
      <c r="E39" s="10">
        <v>3</v>
      </c>
      <c r="F39" s="10" t="s">
        <v>162</v>
      </c>
      <c r="G39" s="14" cm="1">
        <f t="array" ref="G3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45990</v>
      </c>
      <c r="H39" s="14">
        <f>Table4[[#This Row],[ES]] + Table4[[#This Row],[Duration (days)]]</f>
        <v>45993</v>
      </c>
      <c r="I39" s="10" t="s">
        <v>69</v>
      </c>
      <c r="J39" s="10">
        <v>11</v>
      </c>
      <c r="K39" s="10" t="s">
        <v>170</v>
      </c>
      <c r="L39" s="10">
        <v>1</v>
      </c>
      <c r="M39" s="10">
        <v>6</v>
      </c>
      <c r="N39" s="15">
        <v>2.4</v>
      </c>
      <c r="O39" s="15" t="s">
        <v>171</v>
      </c>
      <c r="P39" s="16">
        <v>6</v>
      </c>
      <c r="Q39" s="10">
        <v>6</v>
      </c>
      <c r="R39" s="10">
        <v>3</v>
      </c>
      <c r="S39" s="10">
        <v>3</v>
      </c>
    </row>
    <row r="40" spans="3:19">
      <c r="C40" s="10" t="s">
        <v>172</v>
      </c>
      <c r="D40" s="10" t="s">
        <v>173</v>
      </c>
      <c r="E40" s="10">
        <v>3</v>
      </c>
      <c r="F40" s="10" t="s">
        <v>174</v>
      </c>
      <c r="G40" s="14" cm="1">
        <f t="array" ref="G4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45993</v>
      </c>
      <c r="H40" s="14">
        <f>Table4[[#This Row],[ES]] + Table4[[#This Row],[Duration (days)]]</f>
        <v>45996</v>
      </c>
      <c r="I40" s="10" t="s">
        <v>175</v>
      </c>
      <c r="J40" s="10" t="s">
        <v>176</v>
      </c>
      <c r="K40" s="10" t="s">
        <v>107</v>
      </c>
      <c r="L40" s="10">
        <v>1</v>
      </c>
      <c r="M40" s="10">
        <v>3</v>
      </c>
      <c r="N40" s="15">
        <v>2.5</v>
      </c>
      <c r="O40" s="15" t="s">
        <v>177</v>
      </c>
      <c r="P40" s="17">
        <v>10</v>
      </c>
      <c r="Q40" s="18">
        <v>3</v>
      </c>
      <c r="R40" s="10">
        <v>3</v>
      </c>
      <c r="S40" s="10">
        <v>3</v>
      </c>
    </row>
    <row r="41" spans="3:19">
      <c r="C41" s="10" t="s">
        <v>178</v>
      </c>
      <c r="D41" s="10" t="s">
        <v>179</v>
      </c>
      <c r="E41" s="10">
        <v>1</v>
      </c>
      <c r="F41" s="10" t="s">
        <v>180</v>
      </c>
      <c r="G41" s="14" cm="1">
        <f t="array" ref="G4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45997</v>
      </c>
      <c r="H41" s="14">
        <f>Table4[[#This Row],[ES]] + Table4[[#This Row],[Duration (days)]]</f>
        <v>45998</v>
      </c>
      <c r="I41" s="10" t="s">
        <v>175</v>
      </c>
      <c r="J41" s="10" t="s">
        <v>181</v>
      </c>
      <c r="K41" s="10" t="s">
        <v>107</v>
      </c>
      <c r="L41" s="10">
        <v>1</v>
      </c>
      <c r="M41" s="10">
        <v>4</v>
      </c>
      <c r="N41" s="15">
        <v>0.3</v>
      </c>
      <c r="O41" s="15" t="s">
        <v>182</v>
      </c>
      <c r="P41" s="17">
        <v>6</v>
      </c>
      <c r="Q41" s="18">
        <v>4</v>
      </c>
      <c r="R41" s="10">
        <v>1</v>
      </c>
      <c r="S41" s="10">
        <v>1</v>
      </c>
    </row>
    <row r="42" spans="3:19">
      <c r="C42" s="10" t="s">
        <v>183</v>
      </c>
      <c r="D42" s="10" t="s">
        <v>184</v>
      </c>
      <c r="E42" s="10">
        <v>2</v>
      </c>
      <c r="F42" s="10" t="s">
        <v>172</v>
      </c>
      <c r="G42" s="14" cm="1">
        <f t="array" ref="G4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45998</v>
      </c>
      <c r="H42" s="14">
        <f>Table4[[#This Row],[ES]] + Table4[[#This Row],[Duration (days)]]</f>
        <v>46000</v>
      </c>
      <c r="I42" s="10" t="s">
        <v>64</v>
      </c>
      <c r="J42" s="10">
        <v>2</v>
      </c>
      <c r="K42" s="10" t="s">
        <v>111</v>
      </c>
      <c r="L42" s="10">
        <v>1</v>
      </c>
      <c r="M42" s="10">
        <v>8</v>
      </c>
      <c r="N42" s="15">
        <v>2</v>
      </c>
      <c r="O42" s="15" t="s">
        <v>158</v>
      </c>
      <c r="P42" s="17">
        <v>3</v>
      </c>
      <c r="Q42" s="18">
        <v>8</v>
      </c>
      <c r="R42" s="10">
        <v>2</v>
      </c>
      <c r="S42" s="10">
        <v>2</v>
      </c>
    </row>
    <row r="43" spans="3:19">
      <c r="C43" s="10" t="s">
        <v>185</v>
      </c>
      <c r="D43" s="10" t="s">
        <v>186</v>
      </c>
      <c r="E43" s="10">
        <v>2</v>
      </c>
      <c r="F43" s="10" t="s">
        <v>183</v>
      </c>
      <c r="G43" s="14" cm="1">
        <f t="array" ref="G4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45999</v>
      </c>
      <c r="H43" s="14">
        <f>Table4[[#This Row],[ES]] + Table4[[#This Row],[Duration (days)]]</f>
        <v>46001</v>
      </c>
      <c r="I43" s="10" t="s">
        <v>69</v>
      </c>
      <c r="J43" s="10">
        <v>1</v>
      </c>
      <c r="K43" s="10" t="s">
        <v>115</v>
      </c>
      <c r="L43" s="10">
        <v>1</v>
      </c>
      <c r="M43" s="10">
        <v>3</v>
      </c>
      <c r="N43" s="15">
        <v>2</v>
      </c>
      <c r="O43" s="15" t="s">
        <v>158</v>
      </c>
      <c r="P43" s="17">
        <v>4</v>
      </c>
      <c r="Q43" s="18">
        <v>3</v>
      </c>
      <c r="R43" s="10">
        <v>2</v>
      </c>
      <c r="S43" s="10">
        <v>2</v>
      </c>
    </row>
    <row r="44" spans="3:19">
      <c r="C44" s="10" t="s">
        <v>187</v>
      </c>
      <c r="D44" s="10" t="s">
        <v>188</v>
      </c>
      <c r="E44" s="10">
        <v>1</v>
      </c>
      <c r="F44" s="10" t="s">
        <v>185</v>
      </c>
      <c r="G44" s="14" cm="1">
        <f t="array" ref="G4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46001</v>
      </c>
      <c r="H44" s="14">
        <f>Table4[[#This Row],[ES]] + Table4[[#This Row],[Duration (days)]]</f>
        <v>46002</v>
      </c>
      <c r="I44" s="10" t="s">
        <v>64</v>
      </c>
      <c r="J44" s="10">
        <v>0</v>
      </c>
      <c r="K44" s="10" t="s">
        <v>107</v>
      </c>
      <c r="L44" s="10">
        <v>1</v>
      </c>
      <c r="M44" s="10">
        <v>6</v>
      </c>
      <c r="N44" s="15">
        <v>0.6</v>
      </c>
      <c r="O44" s="15" t="s">
        <v>189</v>
      </c>
      <c r="P44" s="17">
        <v>8</v>
      </c>
      <c r="Q44" s="18">
        <v>6</v>
      </c>
      <c r="R44" s="10">
        <v>1</v>
      </c>
      <c r="S44" s="10">
        <v>1</v>
      </c>
    </row>
    <row r="45" spans="3:19">
      <c r="C45" s="10" t="s">
        <v>190</v>
      </c>
      <c r="D45" s="10" t="s">
        <v>191</v>
      </c>
      <c r="E45" s="10">
        <v>9</v>
      </c>
      <c r="F45" s="10" t="s">
        <v>187</v>
      </c>
      <c r="G45" s="14" cm="1">
        <f t="array" ref="G4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46003</v>
      </c>
      <c r="H45" s="14">
        <f>Table4[[#This Row],[ES]] + Table4[[#This Row],[Duration (days)]]</f>
        <v>46012</v>
      </c>
      <c r="I45" s="10" t="s">
        <v>64</v>
      </c>
      <c r="J45" s="10">
        <v>1</v>
      </c>
      <c r="K45" s="10" t="s">
        <v>111</v>
      </c>
      <c r="L45" s="10">
        <v>1</v>
      </c>
      <c r="M45" s="10">
        <v>6</v>
      </c>
      <c r="N45" s="15">
        <v>8.1</v>
      </c>
      <c r="O45" s="15" t="s">
        <v>192</v>
      </c>
      <c r="P45" s="17">
        <v>3</v>
      </c>
      <c r="Q45" s="18">
        <v>6</v>
      </c>
      <c r="R45" s="10">
        <v>9</v>
      </c>
      <c r="S45" s="10">
        <v>9</v>
      </c>
    </row>
    <row r="46" spans="3:19">
      <c r="C46" s="10" t="s">
        <v>193</v>
      </c>
      <c r="D46" s="10" t="s">
        <v>194</v>
      </c>
      <c r="E46" s="10">
        <v>3</v>
      </c>
      <c r="F46" s="10" t="s">
        <v>190</v>
      </c>
      <c r="G46" s="14" cm="1">
        <f t="array" ref="G4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46011</v>
      </c>
      <c r="H46" s="14">
        <f>Table4[[#This Row],[ES]] + Table4[[#This Row],[Duration (days)]]</f>
        <v>46014</v>
      </c>
      <c r="I46" s="10" t="s">
        <v>69</v>
      </c>
      <c r="J46" s="10">
        <v>8</v>
      </c>
      <c r="K46" s="10" t="s">
        <v>115</v>
      </c>
      <c r="L46" s="10">
        <v>1</v>
      </c>
      <c r="M46" s="10">
        <v>10</v>
      </c>
      <c r="N46" s="15">
        <v>2.9</v>
      </c>
      <c r="O46" s="15" t="s">
        <v>167</v>
      </c>
      <c r="P46" s="17">
        <v>6</v>
      </c>
      <c r="Q46" s="18">
        <v>10</v>
      </c>
      <c r="R46" s="10">
        <v>3</v>
      </c>
      <c r="S46" s="10">
        <v>3</v>
      </c>
    </row>
    <row r="47" spans="3:19">
      <c r="C47" s="10" t="s">
        <v>195</v>
      </c>
      <c r="D47" s="10" t="s">
        <v>196</v>
      </c>
      <c r="E47" s="10">
        <v>3</v>
      </c>
      <c r="F47" s="10" t="s">
        <v>190</v>
      </c>
      <c r="G47" s="14" cm="1">
        <f t="array" ref="G4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46014</v>
      </c>
      <c r="H47" s="14">
        <f>Table4[[#This Row],[ES]] + Table4[[#This Row],[Duration (days)]]</f>
        <v>46017</v>
      </c>
      <c r="I47" s="10" t="s">
        <v>69</v>
      </c>
      <c r="J47" s="10">
        <v>11</v>
      </c>
      <c r="K47" s="10" t="s">
        <v>170</v>
      </c>
      <c r="L47" s="10">
        <v>1</v>
      </c>
      <c r="M47" s="10">
        <v>6</v>
      </c>
      <c r="N47" s="15">
        <v>2.4</v>
      </c>
      <c r="O47" s="15" t="s">
        <v>197</v>
      </c>
      <c r="P47" s="17">
        <v>6</v>
      </c>
      <c r="Q47" s="18">
        <v>6</v>
      </c>
      <c r="R47" s="10">
        <v>3</v>
      </c>
      <c r="S47" s="10">
        <v>3</v>
      </c>
    </row>
    <row r="48" spans="3:19">
      <c r="C48" s="10" t="s">
        <v>198</v>
      </c>
      <c r="D48" s="10" t="s">
        <v>199</v>
      </c>
      <c r="E48" s="10">
        <v>3</v>
      </c>
      <c r="F48" s="10" t="s">
        <v>200</v>
      </c>
      <c r="G48" s="14" cm="1">
        <f t="array" ref="G4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46017</v>
      </c>
      <c r="H48" s="14">
        <f>Table4[[#This Row],[ES]] + Table4[[#This Row],[Duration (days)]]</f>
        <v>46020</v>
      </c>
      <c r="I48" s="10" t="s">
        <v>175</v>
      </c>
      <c r="J48" s="10" t="s">
        <v>176</v>
      </c>
      <c r="K48" s="10" t="s">
        <v>107</v>
      </c>
      <c r="L48" s="10">
        <v>1</v>
      </c>
      <c r="M48" s="10">
        <v>3</v>
      </c>
      <c r="N48" s="15">
        <v>2.5</v>
      </c>
      <c r="O48" s="15" t="s">
        <v>201</v>
      </c>
      <c r="P48" s="17">
        <v>10</v>
      </c>
      <c r="Q48" s="18">
        <v>3</v>
      </c>
      <c r="R48" s="10">
        <v>3</v>
      </c>
      <c r="S48" s="10">
        <v>3</v>
      </c>
    </row>
    <row r="49" spans="3:19">
      <c r="C49" s="10" t="s">
        <v>202</v>
      </c>
      <c r="D49" s="10" t="s">
        <v>203</v>
      </c>
      <c r="E49" s="10">
        <v>1</v>
      </c>
      <c r="F49" s="10" t="s">
        <v>204</v>
      </c>
      <c r="G49" s="14" cm="1">
        <f t="array" ref="G4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46021</v>
      </c>
      <c r="H49" s="14">
        <f>Table4[[#This Row],[ES]] + Table4[[#This Row],[Duration (days)]]</f>
        <v>46022</v>
      </c>
      <c r="I49" s="10" t="s">
        <v>175</v>
      </c>
      <c r="J49" s="10" t="s">
        <v>181</v>
      </c>
      <c r="K49" s="10" t="s">
        <v>107</v>
      </c>
      <c r="L49" s="10">
        <v>1</v>
      </c>
      <c r="M49" s="10">
        <v>4</v>
      </c>
      <c r="N49" s="15">
        <v>0.3</v>
      </c>
      <c r="O49" s="15" t="s">
        <v>205</v>
      </c>
      <c r="P49" s="17">
        <v>6</v>
      </c>
      <c r="Q49" s="18">
        <v>4</v>
      </c>
      <c r="R49" s="10">
        <v>1</v>
      </c>
      <c r="S49" s="10">
        <v>1</v>
      </c>
    </row>
    <row r="50" spans="3:19">
      <c r="C50" s="10" t="s">
        <v>206</v>
      </c>
      <c r="D50" s="10" t="s">
        <v>207</v>
      </c>
      <c r="E50" s="10">
        <v>2</v>
      </c>
      <c r="F50" s="10" t="s">
        <v>198</v>
      </c>
      <c r="G50" s="14" cm="1">
        <f t="array" ref="G5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46022</v>
      </c>
      <c r="H50" s="14">
        <f>Table4[[#This Row],[ES]] + Table4[[#This Row],[Duration (days)]]</f>
        <v>46024</v>
      </c>
      <c r="I50" s="10" t="s">
        <v>64</v>
      </c>
      <c r="J50" s="10">
        <v>2</v>
      </c>
      <c r="K50" s="10" t="s">
        <v>111</v>
      </c>
      <c r="L50" s="10">
        <v>1</v>
      </c>
      <c r="M50" s="10">
        <v>8</v>
      </c>
      <c r="N50" s="15">
        <v>1</v>
      </c>
      <c r="O50" s="15" t="s">
        <v>208</v>
      </c>
      <c r="P50" s="17">
        <v>3</v>
      </c>
      <c r="Q50" s="18">
        <v>8</v>
      </c>
      <c r="R50" s="10">
        <v>2</v>
      </c>
      <c r="S50" s="10">
        <v>2</v>
      </c>
    </row>
    <row r="51" spans="3:19">
      <c r="C51" s="10" t="s">
        <v>209</v>
      </c>
      <c r="D51" s="10" t="s">
        <v>210</v>
      </c>
      <c r="E51" s="10">
        <v>2</v>
      </c>
      <c r="F51" s="10" t="s">
        <v>206</v>
      </c>
      <c r="G51" s="14" cm="1">
        <f t="array" ref="G5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46023</v>
      </c>
      <c r="H51" s="14">
        <f>Table4[[#This Row],[ES]] + Table4[[#This Row],[Duration (days)]]</f>
        <v>46025</v>
      </c>
      <c r="I51" s="10" t="s">
        <v>69</v>
      </c>
      <c r="J51" s="10">
        <v>1</v>
      </c>
      <c r="K51" s="10" t="s">
        <v>115</v>
      </c>
      <c r="L51" s="10">
        <v>1</v>
      </c>
      <c r="M51" s="10">
        <v>3</v>
      </c>
      <c r="N51" s="15">
        <v>1</v>
      </c>
      <c r="O51" s="15" t="s">
        <v>211</v>
      </c>
      <c r="P51" s="17">
        <v>4</v>
      </c>
      <c r="Q51" s="18">
        <v>3</v>
      </c>
      <c r="R51" s="10">
        <v>2</v>
      </c>
      <c r="S51" s="10">
        <v>2</v>
      </c>
    </row>
    <row r="52" spans="3:19">
      <c r="C52" s="10" t="s">
        <v>212</v>
      </c>
      <c r="D52" s="10" t="s">
        <v>213</v>
      </c>
      <c r="E52" s="10">
        <v>1</v>
      </c>
      <c r="F52" s="10" t="s">
        <v>209</v>
      </c>
      <c r="G52" s="14" cm="1">
        <f t="array" ref="G5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46025</v>
      </c>
      <c r="H52" s="14">
        <f>Table4[[#This Row],[ES]] + Table4[[#This Row],[Duration (days)]]</f>
        <v>46026</v>
      </c>
      <c r="I52" s="10" t="s">
        <v>64</v>
      </c>
      <c r="J52" s="10">
        <v>0</v>
      </c>
      <c r="K52" s="10" t="s">
        <v>107</v>
      </c>
      <c r="L52" s="10">
        <v>1</v>
      </c>
      <c r="M52" s="10">
        <v>6</v>
      </c>
      <c r="N52" s="15">
        <v>0.2</v>
      </c>
      <c r="O52" s="15" t="s">
        <v>214</v>
      </c>
      <c r="P52" s="17">
        <v>8</v>
      </c>
      <c r="Q52" s="18">
        <v>6</v>
      </c>
      <c r="R52" s="10">
        <v>1</v>
      </c>
      <c r="S52" s="10">
        <v>1</v>
      </c>
    </row>
    <row r="53" spans="3:19">
      <c r="C53" s="10" t="s">
        <v>215</v>
      </c>
      <c r="D53" s="10" t="s">
        <v>216</v>
      </c>
      <c r="E53" s="10">
        <v>6</v>
      </c>
      <c r="F53" s="10" t="s">
        <v>212</v>
      </c>
      <c r="G53" s="14" cm="1">
        <f t="array" ref="G5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46027</v>
      </c>
      <c r="H53" s="14">
        <f>Table4[[#This Row],[ES]] + Table4[[#This Row],[Duration (days)]]</f>
        <v>46033</v>
      </c>
      <c r="I53" s="10" t="s">
        <v>64</v>
      </c>
      <c r="J53" s="10">
        <v>1</v>
      </c>
      <c r="K53" s="10" t="s">
        <v>111</v>
      </c>
      <c r="L53" s="10">
        <v>1</v>
      </c>
      <c r="M53" s="10">
        <v>6</v>
      </c>
      <c r="N53" s="15">
        <v>5.7</v>
      </c>
      <c r="O53" s="15" t="s">
        <v>217</v>
      </c>
      <c r="P53" s="17">
        <v>3</v>
      </c>
      <c r="Q53" s="18">
        <v>6</v>
      </c>
      <c r="R53" s="10">
        <v>6</v>
      </c>
      <c r="S53" s="10">
        <v>6</v>
      </c>
    </row>
    <row r="54" spans="3:19">
      <c r="C54" s="10" t="s">
        <v>218</v>
      </c>
      <c r="D54" s="10" t="s">
        <v>219</v>
      </c>
      <c r="E54" s="10">
        <v>3</v>
      </c>
      <c r="F54" s="10" t="s">
        <v>215</v>
      </c>
      <c r="G54" s="14" cm="1">
        <f t="array" ref="G5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46033</v>
      </c>
      <c r="H54" s="14">
        <f>Table4[[#This Row],[ES]] + Table4[[#This Row],[Duration (days)]]</f>
        <v>46036</v>
      </c>
      <c r="I54" s="10" t="s">
        <v>69</v>
      </c>
      <c r="J54" s="10">
        <v>6</v>
      </c>
      <c r="K54" s="10" t="s">
        <v>115</v>
      </c>
      <c r="L54" s="10">
        <v>1</v>
      </c>
      <c r="M54" s="10">
        <v>10</v>
      </c>
      <c r="N54" s="15">
        <v>3</v>
      </c>
      <c r="O54" s="15" t="s">
        <v>220</v>
      </c>
      <c r="P54" s="17">
        <v>6</v>
      </c>
      <c r="Q54" s="18">
        <v>10</v>
      </c>
      <c r="R54" s="10">
        <v>3</v>
      </c>
      <c r="S54" s="10">
        <v>3</v>
      </c>
    </row>
    <row r="55" spans="3:19">
      <c r="C55" s="10" t="s">
        <v>221</v>
      </c>
      <c r="D55" s="10" t="s">
        <v>222</v>
      </c>
      <c r="E55" s="10">
        <v>3</v>
      </c>
      <c r="F55" s="10" t="s">
        <v>215</v>
      </c>
      <c r="G55" s="14" cm="1">
        <f t="array" ref="G5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46036</v>
      </c>
      <c r="H55" s="14">
        <f>Table4[[#This Row],[ES]] + Table4[[#This Row],[Duration (days)]]</f>
        <v>46039</v>
      </c>
      <c r="I55" s="10" t="s">
        <v>69</v>
      </c>
      <c r="J55" s="10">
        <v>9</v>
      </c>
      <c r="K55" s="10" t="s">
        <v>170</v>
      </c>
      <c r="L55" s="10">
        <v>1</v>
      </c>
      <c r="M55" s="10">
        <v>6</v>
      </c>
      <c r="N55" s="15">
        <v>1.7</v>
      </c>
      <c r="O55" s="15" t="s">
        <v>223</v>
      </c>
      <c r="P55" s="16">
        <v>6</v>
      </c>
      <c r="Q55" s="10">
        <v>6</v>
      </c>
      <c r="R55" s="10">
        <v>3</v>
      </c>
      <c r="S55" s="10">
        <v>3</v>
      </c>
    </row>
    <row r="56" spans="3:19">
      <c r="C56" s="10" t="s">
        <v>224</v>
      </c>
      <c r="D56" s="10" t="s">
        <v>225</v>
      </c>
      <c r="E56" s="10">
        <v>2</v>
      </c>
      <c r="F56" s="10" t="s">
        <v>226</v>
      </c>
      <c r="G56" s="14" cm="1">
        <f t="array" ref="G5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46039</v>
      </c>
      <c r="H56" s="14">
        <f>Table4[[#This Row],[ES]] + Table4[[#This Row],[Duration (days)]]</f>
        <v>46041</v>
      </c>
      <c r="I56" s="10" t="s">
        <v>175</v>
      </c>
      <c r="J56" s="10" t="s">
        <v>176</v>
      </c>
      <c r="K56" s="10" t="s">
        <v>107</v>
      </c>
      <c r="L56" s="10">
        <v>1</v>
      </c>
      <c r="M56" s="10">
        <v>3</v>
      </c>
      <c r="N56" s="15">
        <v>1.7</v>
      </c>
      <c r="O56" s="15" t="s">
        <v>227</v>
      </c>
      <c r="P56" s="17">
        <v>10</v>
      </c>
      <c r="Q56" s="18">
        <v>3</v>
      </c>
      <c r="R56" s="10">
        <v>2</v>
      </c>
      <c r="S56" s="10">
        <v>2</v>
      </c>
    </row>
    <row r="57" spans="3:19">
      <c r="C57" s="10" t="s">
        <v>228</v>
      </c>
      <c r="D57" s="10" t="s">
        <v>229</v>
      </c>
      <c r="E57" s="10">
        <v>1</v>
      </c>
      <c r="F57" s="10" t="s">
        <v>230</v>
      </c>
      <c r="G57" s="14" cm="1">
        <f t="array" ref="G5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46042</v>
      </c>
      <c r="H57" s="14">
        <f>Table4[[#This Row],[ES]] + Table4[[#This Row],[Duration (days)]]</f>
        <v>46043</v>
      </c>
      <c r="I57" s="10" t="s">
        <v>175</v>
      </c>
      <c r="J57" s="10" t="s">
        <v>181</v>
      </c>
      <c r="K57" s="10" t="s">
        <v>107</v>
      </c>
      <c r="L57" s="10">
        <v>1</v>
      </c>
      <c r="M57" s="10">
        <v>6</v>
      </c>
      <c r="N57" s="15">
        <v>0.2</v>
      </c>
      <c r="O57" s="15" t="s">
        <v>134</v>
      </c>
      <c r="P57" s="16">
        <v>6</v>
      </c>
      <c r="Q57" s="10">
        <v>6</v>
      </c>
      <c r="R57" s="10">
        <v>1</v>
      </c>
      <c r="S57" s="10">
        <v>1</v>
      </c>
    </row>
    <row r="58" spans="3:19">
      <c r="C58" s="10" t="s">
        <v>231</v>
      </c>
      <c r="D58" s="10" t="s">
        <v>232</v>
      </c>
      <c r="E58" s="10">
        <v>6</v>
      </c>
      <c r="F58" s="10" t="s">
        <v>224</v>
      </c>
      <c r="G58" s="14" cm="1">
        <f t="array" ref="G5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46043</v>
      </c>
      <c r="H58" s="14">
        <f>Table4[[#This Row],[ES]] + Table4[[#This Row],[Duration (days)]]</f>
        <v>46049</v>
      </c>
      <c r="I58" s="10" t="s">
        <v>64</v>
      </c>
      <c r="J58" s="10">
        <v>2</v>
      </c>
      <c r="K58" s="10" t="s">
        <v>111</v>
      </c>
      <c r="L58" s="10">
        <v>1</v>
      </c>
      <c r="M58" s="10">
        <v>5</v>
      </c>
      <c r="N58" s="15">
        <v>5.7</v>
      </c>
      <c r="O58" s="15" t="s">
        <v>233</v>
      </c>
      <c r="P58" s="17">
        <v>3</v>
      </c>
      <c r="Q58" s="18">
        <v>5</v>
      </c>
      <c r="R58" s="10">
        <v>6</v>
      </c>
      <c r="S58" s="10">
        <v>6</v>
      </c>
    </row>
    <row r="59" spans="3:19">
      <c r="C59" s="10" t="s">
        <v>234</v>
      </c>
      <c r="D59" s="10" t="s">
        <v>235</v>
      </c>
      <c r="E59" s="10">
        <v>3</v>
      </c>
      <c r="F59" s="10" t="s">
        <v>231</v>
      </c>
      <c r="G59" s="14" cm="1">
        <f t="array" ref="G5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46045</v>
      </c>
      <c r="H59" s="14">
        <f>Table4[[#This Row],[ES]] + Table4[[#This Row],[Duration (days)]]</f>
        <v>46048</v>
      </c>
      <c r="I59" s="10" t="s">
        <v>69</v>
      </c>
      <c r="J59" s="10">
        <v>2</v>
      </c>
      <c r="K59" s="10" t="s">
        <v>115</v>
      </c>
      <c r="L59" s="10">
        <v>1</v>
      </c>
      <c r="M59" s="10">
        <v>5</v>
      </c>
      <c r="N59" s="15">
        <v>1.7</v>
      </c>
      <c r="O59" s="15" t="s">
        <v>236</v>
      </c>
      <c r="P59" s="17">
        <v>6</v>
      </c>
      <c r="Q59" s="18">
        <v>5</v>
      </c>
      <c r="R59" s="10">
        <v>3</v>
      </c>
      <c r="S59" s="10">
        <v>3</v>
      </c>
    </row>
    <row r="60" spans="3:19">
      <c r="C60" s="10" t="s">
        <v>237</v>
      </c>
      <c r="D60" s="10" t="s">
        <v>238</v>
      </c>
      <c r="E60" s="10">
        <v>2</v>
      </c>
      <c r="F60" s="10" t="s">
        <v>234</v>
      </c>
      <c r="G60" s="14" cm="1">
        <f t="array" ref="G6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46048</v>
      </c>
      <c r="H60" s="14">
        <f>Table4[[#This Row],[ES]] + Table4[[#This Row],[Duration (days)]]</f>
        <v>46050</v>
      </c>
      <c r="I60" s="10" t="s">
        <v>64</v>
      </c>
      <c r="J60" s="10">
        <v>0</v>
      </c>
      <c r="K60" s="10" t="s">
        <v>107</v>
      </c>
      <c r="L60" s="10">
        <v>1</v>
      </c>
      <c r="M60" s="10">
        <v>4</v>
      </c>
      <c r="N60" s="15">
        <v>1.7</v>
      </c>
      <c r="O60" s="15" t="s">
        <v>239</v>
      </c>
      <c r="P60" s="17">
        <v>10</v>
      </c>
      <c r="Q60" s="18">
        <v>4</v>
      </c>
      <c r="R60" s="10">
        <v>2</v>
      </c>
      <c r="S60" s="10">
        <v>2</v>
      </c>
    </row>
    <row r="61" spans="3:19">
      <c r="C61" s="10" t="s">
        <v>240</v>
      </c>
      <c r="D61" s="10" t="s">
        <v>241</v>
      </c>
      <c r="E61" s="10">
        <v>2</v>
      </c>
      <c r="F61" s="10" t="s">
        <v>237</v>
      </c>
      <c r="G61" s="14" cm="1">
        <f t="array" ref="G6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46052</v>
      </c>
      <c r="H61" s="14">
        <f>Table4[[#This Row],[ES]] + Table4[[#This Row],[Duration (days)]]</f>
        <v>46054</v>
      </c>
      <c r="I61" s="10" t="s">
        <v>64</v>
      </c>
      <c r="J61" s="10">
        <v>2</v>
      </c>
      <c r="K61" s="10" t="s">
        <v>242</v>
      </c>
      <c r="L61" s="10">
        <v>1</v>
      </c>
      <c r="M61" s="10">
        <v>6</v>
      </c>
      <c r="N61" s="15">
        <v>1.5</v>
      </c>
      <c r="O61" s="15" t="s">
        <v>243</v>
      </c>
      <c r="P61" s="16">
        <v>6</v>
      </c>
      <c r="Q61" s="10">
        <v>6</v>
      </c>
      <c r="R61" s="10">
        <v>2</v>
      </c>
      <c r="S61" s="10">
        <v>2</v>
      </c>
    </row>
    <row r="62" spans="3:19">
      <c r="C62" s="10" t="s">
        <v>244</v>
      </c>
      <c r="D62" s="10" t="s">
        <v>245</v>
      </c>
      <c r="E62" s="10">
        <v>1</v>
      </c>
      <c r="F62" s="10" t="s">
        <v>237</v>
      </c>
      <c r="G62" s="14" cm="1">
        <f t="array" ref="G6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46057</v>
      </c>
      <c r="H62" s="14">
        <f>Table4[[#This Row],[ES]] + Table4[[#This Row],[Duration (days)]]</f>
        <v>46058</v>
      </c>
      <c r="I62" s="10" t="s">
        <v>64</v>
      </c>
      <c r="J62" s="10">
        <v>7</v>
      </c>
      <c r="K62" s="10" t="s">
        <v>246</v>
      </c>
      <c r="L62" s="10">
        <v>1</v>
      </c>
      <c r="M62" s="10">
        <v>6</v>
      </c>
      <c r="N62" s="15">
        <v>0.3</v>
      </c>
      <c r="O62" s="15" t="s">
        <v>247</v>
      </c>
      <c r="P62" s="17">
        <v>5</v>
      </c>
      <c r="Q62" s="18">
        <v>6</v>
      </c>
      <c r="R62" s="10">
        <v>1</v>
      </c>
      <c r="S62" s="10">
        <v>1</v>
      </c>
    </row>
    <row r="63" spans="3:19">
      <c r="C63" s="10" t="s">
        <v>248</v>
      </c>
      <c r="D63" s="10" t="s">
        <v>249</v>
      </c>
      <c r="E63" s="10">
        <v>1</v>
      </c>
      <c r="F63" s="10" t="s">
        <v>244</v>
      </c>
      <c r="G63" s="14" cm="1">
        <f t="array" ref="G6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46059</v>
      </c>
      <c r="H63" s="14">
        <f>Table4[[#This Row],[ES]] + Table4[[#This Row],[Duration (days)]]</f>
        <v>46060</v>
      </c>
      <c r="I63" s="10" t="s">
        <v>64</v>
      </c>
      <c r="J63" s="10">
        <v>1</v>
      </c>
      <c r="K63" s="10" t="s">
        <v>246</v>
      </c>
      <c r="L63" s="10">
        <v>1</v>
      </c>
      <c r="M63" s="10">
        <v>6</v>
      </c>
      <c r="N63" s="15">
        <v>0.5</v>
      </c>
      <c r="O63" s="15" t="s">
        <v>250</v>
      </c>
      <c r="P63" s="17">
        <v>5</v>
      </c>
      <c r="Q63" s="18">
        <v>6</v>
      </c>
      <c r="R63" s="19">
        <v>2</v>
      </c>
      <c r="S63" s="19">
        <v>1</v>
      </c>
    </row>
    <row r="64" spans="3:19">
      <c r="C64" s="10" t="s">
        <v>251</v>
      </c>
      <c r="D64" s="10" t="s">
        <v>252</v>
      </c>
      <c r="E64" s="10">
        <v>3</v>
      </c>
      <c r="F64" s="10" t="s">
        <v>248</v>
      </c>
      <c r="G64" s="14" cm="1">
        <f t="array" ref="G6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46061</v>
      </c>
      <c r="H64" s="14">
        <f>Table4[[#This Row],[ES]] + Table4[[#This Row],[Duration (days)]]</f>
        <v>46064</v>
      </c>
      <c r="I64" s="10" t="s">
        <v>64</v>
      </c>
      <c r="J64" s="10">
        <v>1</v>
      </c>
      <c r="K64" s="10" t="s">
        <v>253</v>
      </c>
      <c r="L64" s="10">
        <v>1</v>
      </c>
      <c r="M64" s="10">
        <v>4</v>
      </c>
      <c r="N64" s="15">
        <v>2.9</v>
      </c>
      <c r="O64" s="15" t="s">
        <v>254</v>
      </c>
      <c r="P64" s="16">
        <v>4</v>
      </c>
      <c r="Q64" s="10">
        <v>4</v>
      </c>
      <c r="R64" s="19">
        <v>2</v>
      </c>
      <c r="S64" s="19">
        <v>3</v>
      </c>
    </row>
    <row r="65" spans="3:19">
      <c r="C65" s="10" t="s">
        <v>255</v>
      </c>
      <c r="D65" s="10" t="s">
        <v>256</v>
      </c>
      <c r="E65" s="10">
        <v>14</v>
      </c>
      <c r="F65" s="10" t="s">
        <v>172</v>
      </c>
      <c r="G65" s="14" cm="1">
        <f t="array" ref="G6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45998</v>
      </c>
      <c r="H65" s="14">
        <f>Table4[[#This Row],[ES]] + Table4[[#This Row],[Duration (days)]]</f>
        <v>46012</v>
      </c>
      <c r="I65" s="10" t="s">
        <v>64</v>
      </c>
      <c r="J65" s="10">
        <v>2</v>
      </c>
      <c r="K65" s="10" t="s">
        <v>242</v>
      </c>
      <c r="L65" s="10">
        <v>1</v>
      </c>
      <c r="M65" s="10">
        <v>4</v>
      </c>
      <c r="N65" s="15">
        <v>13.5</v>
      </c>
      <c r="O65" s="15" t="s">
        <v>257</v>
      </c>
      <c r="P65" s="17">
        <v>6</v>
      </c>
      <c r="Q65" s="18">
        <v>4</v>
      </c>
      <c r="R65" s="10">
        <v>14</v>
      </c>
      <c r="S65" s="10">
        <v>14</v>
      </c>
    </row>
    <row r="66" spans="3:19">
      <c r="C66" s="10" t="s">
        <v>258</v>
      </c>
      <c r="D66" s="10" t="s">
        <v>259</v>
      </c>
      <c r="E66" s="10">
        <v>14</v>
      </c>
      <c r="F66" s="10" t="s">
        <v>260</v>
      </c>
      <c r="G66" s="14" cm="1">
        <f t="array" ref="G6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46020</v>
      </c>
      <c r="H66" s="14">
        <f>Table4[[#This Row],[ES]] + Table4[[#This Row],[Duration (days)]]</f>
        <v>46034</v>
      </c>
      <c r="I66" s="10" t="s">
        <v>175</v>
      </c>
      <c r="J66" s="10" t="s">
        <v>261</v>
      </c>
      <c r="K66" s="10" t="s">
        <v>242</v>
      </c>
      <c r="L66" s="10">
        <v>1</v>
      </c>
      <c r="M66" s="10">
        <v>5</v>
      </c>
      <c r="N66" s="15">
        <v>13.5</v>
      </c>
      <c r="O66" s="15" t="s">
        <v>262</v>
      </c>
      <c r="P66" s="17">
        <v>6</v>
      </c>
      <c r="Q66" s="18">
        <v>5</v>
      </c>
      <c r="R66" s="10">
        <v>14</v>
      </c>
      <c r="S66" s="10">
        <v>14</v>
      </c>
    </row>
    <row r="67" spans="3:19">
      <c r="C67" s="10" t="s">
        <v>263</v>
      </c>
      <c r="D67" s="10" t="s">
        <v>264</v>
      </c>
      <c r="E67" s="10">
        <v>14</v>
      </c>
      <c r="F67" s="10" t="s">
        <v>265</v>
      </c>
      <c r="G67" s="14" cm="1">
        <f t="array" ref="G6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46041</v>
      </c>
      <c r="H67" s="14">
        <f>Table4[[#This Row],[ES]] + Table4[[#This Row],[Duration (days)]]</f>
        <v>46055</v>
      </c>
      <c r="I67" s="10" t="s">
        <v>175</v>
      </c>
      <c r="J67" s="10" t="s">
        <v>261</v>
      </c>
      <c r="K67" s="10" t="s">
        <v>242</v>
      </c>
      <c r="L67" s="10">
        <v>1</v>
      </c>
      <c r="M67" s="10">
        <v>4</v>
      </c>
      <c r="N67" s="15">
        <v>13.5</v>
      </c>
      <c r="O67" s="15" t="s">
        <v>262</v>
      </c>
      <c r="P67" s="17">
        <v>6</v>
      </c>
      <c r="Q67" s="18">
        <v>4</v>
      </c>
      <c r="R67" s="10">
        <v>14</v>
      </c>
      <c r="S67" s="10">
        <v>14</v>
      </c>
    </row>
    <row r="68" spans="3:19">
      <c r="C68" s="10" t="s">
        <v>266</v>
      </c>
      <c r="D68" s="10" t="s">
        <v>267</v>
      </c>
      <c r="E68" s="10">
        <v>2</v>
      </c>
      <c r="F68" s="10" t="s">
        <v>237</v>
      </c>
      <c r="G68" s="14" cm="1">
        <f t="array" ref="G6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46052</v>
      </c>
      <c r="H68" s="14">
        <f>Table4[[#This Row],[ES]] + Table4[[#This Row],[Duration (days)]]</f>
        <v>46054</v>
      </c>
      <c r="I68" s="10" t="s">
        <v>64</v>
      </c>
      <c r="J68" s="10">
        <v>2</v>
      </c>
      <c r="K68" s="10" t="s">
        <v>242</v>
      </c>
      <c r="L68" s="10">
        <v>1</v>
      </c>
      <c r="M68" s="10">
        <v>4</v>
      </c>
      <c r="N68" s="15">
        <v>2</v>
      </c>
      <c r="O68" s="15" t="s">
        <v>158</v>
      </c>
      <c r="P68" s="16">
        <v>4</v>
      </c>
      <c r="Q68" s="10">
        <v>4</v>
      </c>
      <c r="R68" s="10">
        <v>2</v>
      </c>
      <c r="S68" s="10">
        <v>2</v>
      </c>
    </row>
    <row r="69" spans="3:19">
      <c r="C69" s="10" t="s">
        <v>268</v>
      </c>
      <c r="D69" s="10" t="s">
        <v>269</v>
      </c>
      <c r="E69" s="10">
        <v>5</v>
      </c>
      <c r="F69" s="10" t="s">
        <v>270</v>
      </c>
      <c r="G69" s="14" cm="1">
        <f t="array" ref="G6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46035</v>
      </c>
      <c r="H69" s="14">
        <f>Table4[[#This Row],[ES]] + Table4[[#This Row],[Duration (days)]]</f>
        <v>46040</v>
      </c>
      <c r="I69" s="10" t="s">
        <v>175</v>
      </c>
      <c r="J69" s="10" t="s">
        <v>181</v>
      </c>
      <c r="K69" s="10" t="s">
        <v>271</v>
      </c>
      <c r="L69" s="10">
        <v>1</v>
      </c>
      <c r="M69" s="10">
        <v>4</v>
      </c>
      <c r="N69" s="15">
        <v>5</v>
      </c>
      <c r="O69" s="15" t="s">
        <v>272</v>
      </c>
      <c r="P69" s="16">
        <v>4</v>
      </c>
      <c r="Q69" s="10">
        <v>4</v>
      </c>
      <c r="R69" s="10">
        <v>5</v>
      </c>
      <c r="S69" s="10">
        <v>5</v>
      </c>
    </row>
    <row r="70" spans="3:19">
      <c r="C70" s="10" t="s">
        <v>273</v>
      </c>
      <c r="D70" s="10" t="s">
        <v>274</v>
      </c>
      <c r="E70" s="10">
        <v>3</v>
      </c>
      <c r="F70" s="10" t="s">
        <v>275</v>
      </c>
      <c r="G70" s="14" cm="1">
        <f t="array" ref="G7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46056</v>
      </c>
      <c r="H70" s="14">
        <f>Table4[[#This Row],[ES]] + Table4[[#This Row],[Duration (days)]]</f>
        <v>46059</v>
      </c>
      <c r="I70" s="10" t="s">
        <v>175</v>
      </c>
      <c r="J70" s="10" t="s">
        <v>181</v>
      </c>
      <c r="K70" s="10" t="s">
        <v>271</v>
      </c>
      <c r="L70" s="10">
        <v>1</v>
      </c>
      <c r="M70" s="10">
        <v>4</v>
      </c>
      <c r="N70" s="15">
        <v>3</v>
      </c>
      <c r="O70" s="15" t="s">
        <v>276</v>
      </c>
      <c r="P70" s="16">
        <v>4</v>
      </c>
      <c r="Q70" s="10">
        <v>4</v>
      </c>
      <c r="R70" s="10">
        <v>3</v>
      </c>
      <c r="S70" s="10">
        <v>3</v>
      </c>
    </row>
    <row r="71" spans="3:19">
      <c r="C71" s="10" t="s">
        <v>277</v>
      </c>
      <c r="D71" s="10" t="s">
        <v>278</v>
      </c>
      <c r="E71" s="10">
        <v>5</v>
      </c>
      <c r="F71" s="10" t="s">
        <v>151</v>
      </c>
      <c r="G71" s="14" cm="1">
        <f t="array" ref="G7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45987</v>
      </c>
      <c r="H71" s="14">
        <f>Table4[[#This Row],[ES]] + Table4[[#This Row],[Duration (days)]]</f>
        <v>45992</v>
      </c>
      <c r="I71" s="10" t="s">
        <v>64</v>
      </c>
      <c r="J71" s="10">
        <v>0</v>
      </c>
      <c r="K71" s="10" t="s">
        <v>279</v>
      </c>
      <c r="L71" s="10">
        <v>1</v>
      </c>
      <c r="M71" s="10">
        <v>4</v>
      </c>
      <c r="N71" s="15"/>
      <c r="O71" s="15" t="s">
        <v>280</v>
      </c>
      <c r="P71" s="17">
        <v>5</v>
      </c>
      <c r="Q71" s="18">
        <v>4</v>
      </c>
      <c r="R71" s="10">
        <v>5</v>
      </c>
      <c r="S71" s="10">
        <v>5</v>
      </c>
    </row>
    <row r="72" spans="3:19">
      <c r="C72" s="10" t="s">
        <v>281</v>
      </c>
      <c r="D72" s="10" t="s">
        <v>282</v>
      </c>
      <c r="E72" s="10">
        <v>6</v>
      </c>
      <c r="F72" s="10" t="s">
        <v>283</v>
      </c>
      <c r="G72" s="14" cm="1">
        <f t="array" ref="G7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46041</v>
      </c>
      <c r="H72" s="14">
        <f>Table4[[#This Row],[ES]] + Table4[[#This Row],[Duration (days)]]</f>
        <v>46047</v>
      </c>
      <c r="I72" s="10" t="s">
        <v>175</v>
      </c>
      <c r="J72" s="10" t="s">
        <v>284</v>
      </c>
      <c r="K72" s="10" t="s">
        <v>285</v>
      </c>
      <c r="L72" s="10">
        <v>1</v>
      </c>
      <c r="M72" s="10">
        <v>4</v>
      </c>
      <c r="N72" s="15">
        <v>6</v>
      </c>
      <c r="O72" s="15" t="s">
        <v>286</v>
      </c>
      <c r="P72" s="16">
        <v>4</v>
      </c>
      <c r="Q72" s="10">
        <v>4</v>
      </c>
      <c r="R72" s="10">
        <v>6</v>
      </c>
      <c r="S72" s="10">
        <v>6</v>
      </c>
    </row>
    <row r="73" spans="3:19">
      <c r="C73" s="10" t="s">
        <v>287</v>
      </c>
      <c r="D73" s="10" t="s">
        <v>288</v>
      </c>
      <c r="E73" s="10">
        <v>5</v>
      </c>
      <c r="F73" s="10" t="s">
        <v>289</v>
      </c>
      <c r="G73" s="14" cm="1">
        <f t="array" ref="G7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46060</v>
      </c>
      <c r="H73" s="14">
        <f>Table4[[#This Row],[ES]] + Table4[[#This Row],[Duration (days)]]</f>
        <v>46065</v>
      </c>
      <c r="I73" s="10" t="s">
        <v>175</v>
      </c>
      <c r="J73" s="10" t="s">
        <v>284</v>
      </c>
      <c r="K73" s="10" t="s">
        <v>285</v>
      </c>
      <c r="L73" s="10">
        <v>1</v>
      </c>
      <c r="M73" s="10">
        <v>6</v>
      </c>
      <c r="N73" s="15">
        <v>4.5</v>
      </c>
      <c r="O73" s="15" t="s">
        <v>290</v>
      </c>
      <c r="P73" s="17">
        <v>4</v>
      </c>
      <c r="Q73" s="18">
        <v>6</v>
      </c>
      <c r="R73" s="10">
        <v>5</v>
      </c>
      <c r="S73" s="10">
        <v>5</v>
      </c>
    </row>
    <row r="74" spans="3:19">
      <c r="C74" s="10" t="s">
        <v>291</v>
      </c>
      <c r="D74" s="10" t="s">
        <v>292</v>
      </c>
      <c r="E74" s="10">
        <v>33</v>
      </c>
      <c r="F74" s="10" t="s">
        <v>293</v>
      </c>
      <c r="G74" s="14" cm="1">
        <f t="array" ref="G7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46049</v>
      </c>
      <c r="H74" s="14">
        <f>Table4[[#This Row],[ES]] + Table4[[#This Row],[Duration (days)]]</f>
        <v>46082</v>
      </c>
      <c r="I74" s="10" t="s">
        <v>175</v>
      </c>
      <c r="J74" s="10" t="s">
        <v>294</v>
      </c>
      <c r="K74" s="10" t="s">
        <v>295</v>
      </c>
      <c r="L74" s="10">
        <v>1</v>
      </c>
      <c r="M74" s="10">
        <v>6</v>
      </c>
      <c r="N74" s="15">
        <v>32.799999999999997</v>
      </c>
      <c r="O74" s="15" t="s">
        <v>296</v>
      </c>
      <c r="P74" s="17">
        <v>4</v>
      </c>
      <c r="Q74" s="18">
        <v>6</v>
      </c>
      <c r="R74" s="10">
        <v>33</v>
      </c>
      <c r="S74" s="10">
        <v>33</v>
      </c>
    </row>
    <row r="75" spans="3:19">
      <c r="C75" s="10" t="s">
        <v>297</v>
      </c>
      <c r="D75" s="10" t="s">
        <v>298</v>
      </c>
      <c r="E75" s="10">
        <v>17</v>
      </c>
      <c r="F75" s="10" t="s">
        <v>299</v>
      </c>
      <c r="G75" s="14" cm="1">
        <f t="array" ref="G7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46087</v>
      </c>
      <c r="H75" s="14">
        <f>Table4[[#This Row],[ES]] + Table4[[#This Row],[Duration (days)]]</f>
        <v>46104</v>
      </c>
      <c r="I75" s="10" t="s">
        <v>300</v>
      </c>
      <c r="J75" s="10" t="s">
        <v>301</v>
      </c>
      <c r="K75" s="10" t="s">
        <v>295</v>
      </c>
      <c r="L75" s="10">
        <v>1</v>
      </c>
      <c r="M75" s="10">
        <v>4</v>
      </c>
      <c r="N75" s="15">
        <v>16.399999999999999</v>
      </c>
      <c r="O75" s="15" t="s">
        <v>302</v>
      </c>
      <c r="P75" s="16">
        <v>4</v>
      </c>
      <c r="Q75" s="10">
        <v>4</v>
      </c>
      <c r="R75" s="10">
        <v>17</v>
      </c>
      <c r="S75" s="10">
        <v>17</v>
      </c>
    </row>
    <row r="76" spans="3:19">
      <c r="C76" s="10" t="s">
        <v>303</v>
      </c>
      <c r="D76" s="10" t="s">
        <v>304</v>
      </c>
      <c r="E76" s="10">
        <v>16</v>
      </c>
      <c r="F76" s="10" t="s">
        <v>266</v>
      </c>
      <c r="G76" s="14" cm="1">
        <f t="array" ref="G7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46055</v>
      </c>
      <c r="H76" s="14">
        <f>Table4[[#This Row],[ES]] + Table4[[#This Row],[Duration (days)]]</f>
        <v>46071</v>
      </c>
      <c r="I76" s="10" t="s">
        <v>64</v>
      </c>
      <c r="J76" s="10">
        <v>1</v>
      </c>
      <c r="K76" s="10" t="s">
        <v>295</v>
      </c>
      <c r="L76" s="10">
        <v>1</v>
      </c>
      <c r="M76" s="10">
        <v>4</v>
      </c>
      <c r="N76" s="15">
        <v>15.8</v>
      </c>
      <c r="O76" s="15" t="s">
        <v>305</v>
      </c>
      <c r="P76" s="16">
        <v>4</v>
      </c>
      <c r="Q76" s="10">
        <v>4</v>
      </c>
      <c r="R76" s="10">
        <v>16</v>
      </c>
      <c r="S76" s="10">
        <v>16</v>
      </c>
    </row>
    <row r="77" spans="3:19">
      <c r="C77" s="10" t="s">
        <v>306</v>
      </c>
      <c r="D77" s="10" t="s">
        <v>307</v>
      </c>
      <c r="E77" s="10">
        <v>14</v>
      </c>
      <c r="F77" s="10" t="s">
        <v>308</v>
      </c>
      <c r="G77" s="14" cm="1">
        <f t="array" ref="G77">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46107</v>
      </c>
      <c r="H77" s="14">
        <f>Table4[[#This Row],[ES]] + Table4[[#This Row],[Duration (days)]]</f>
        <v>46121</v>
      </c>
      <c r="I77" s="10" t="s">
        <v>175</v>
      </c>
      <c r="J77" s="10" t="s">
        <v>309</v>
      </c>
      <c r="K77" s="10" t="s">
        <v>253</v>
      </c>
      <c r="L77" s="10">
        <v>1</v>
      </c>
      <c r="M77" s="10">
        <v>4</v>
      </c>
      <c r="N77" s="15">
        <v>13.2</v>
      </c>
      <c r="O77" s="15" t="s">
        <v>310</v>
      </c>
      <c r="P77" s="17">
        <v>3</v>
      </c>
      <c r="Q77" s="18">
        <v>4</v>
      </c>
      <c r="R77" s="10">
        <v>14</v>
      </c>
      <c r="S77" s="10">
        <v>14</v>
      </c>
    </row>
    <row r="78" spans="3:19">
      <c r="C78" s="10" t="s">
        <v>311</v>
      </c>
      <c r="D78" s="10" t="s">
        <v>312</v>
      </c>
      <c r="E78" s="10">
        <v>4</v>
      </c>
      <c r="F78" s="10" t="s">
        <v>297</v>
      </c>
      <c r="G78" s="14" cm="1">
        <f t="array" ref="G78">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46107</v>
      </c>
      <c r="H78" s="14">
        <f>Table4[[#This Row],[ES]] + Table4[[#This Row],[Duration (days)]]</f>
        <v>46111</v>
      </c>
      <c r="I78" s="10" t="s">
        <v>64</v>
      </c>
      <c r="J78" s="10">
        <v>3</v>
      </c>
      <c r="K78" s="10" t="s">
        <v>246</v>
      </c>
      <c r="L78" s="10">
        <v>1</v>
      </c>
      <c r="M78" s="10">
        <v>3</v>
      </c>
      <c r="N78" s="15">
        <v>2.8</v>
      </c>
      <c r="O78" s="15" t="s">
        <v>313</v>
      </c>
      <c r="P78" s="17">
        <v>4</v>
      </c>
      <c r="Q78" s="18">
        <v>3</v>
      </c>
      <c r="R78" s="10">
        <v>4</v>
      </c>
      <c r="S78" s="10">
        <v>4</v>
      </c>
    </row>
    <row r="79" spans="3:19">
      <c r="C79" s="10" t="s">
        <v>314</v>
      </c>
      <c r="D79" s="10" t="s">
        <v>315</v>
      </c>
      <c r="E79" s="10">
        <v>2</v>
      </c>
      <c r="F79" s="10" t="s">
        <v>316</v>
      </c>
      <c r="G79" s="14" cm="1">
        <f t="array" ref="G79">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46121</v>
      </c>
      <c r="H79" s="14">
        <f>Table4[[#This Row],[ES]] + Table4[[#This Row],[Duration (days)]]</f>
        <v>46123</v>
      </c>
      <c r="I79" s="10" t="s">
        <v>175</v>
      </c>
      <c r="J79" s="10" t="s">
        <v>317</v>
      </c>
      <c r="K79" s="10" t="s">
        <v>253</v>
      </c>
      <c r="L79" s="10">
        <v>1</v>
      </c>
      <c r="M79" s="10">
        <v>3</v>
      </c>
      <c r="N79" s="15">
        <v>0.9</v>
      </c>
      <c r="O79" s="15" t="s">
        <v>318</v>
      </c>
      <c r="P79" s="16">
        <v>3</v>
      </c>
      <c r="Q79" s="10">
        <v>3</v>
      </c>
      <c r="R79" s="10">
        <v>2</v>
      </c>
      <c r="S79" s="10">
        <v>2</v>
      </c>
    </row>
    <row r="80" spans="3:19">
      <c r="C80" s="10" t="s">
        <v>319</v>
      </c>
      <c r="D80" s="10" t="s">
        <v>320</v>
      </c>
      <c r="E80" s="10">
        <v>4</v>
      </c>
      <c r="F80" s="10" t="s">
        <v>314</v>
      </c>
      <c r="G80" s="14" cm="1">
        <f t="array" ref="G80">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46122</v>
      </c>
      <c r="H80" s="14">
        <f>Table4[[#This Row],[ES]] + Table4[[#This Row],[Duration (days)]]</f>
        <v>46126</v>
      </c>
      <c r="I80" s="10" t="s">
        <v>69</v>
      </c>
      <c r="J80" s="10">
        <v>1</v>
      </c>
      <c r="K80" s="10" t="s">
        <v>253</v>
      </c>
      <c r="L80" s="10">
        <v>1</v>
      </c>
      <c r="M80" s="10">
        <v>3</v>
      </c>
      <c r="N80" s="15">
        <v>3.1</v>
      </c>
      <c r="O80" s="15" t="s">
        <v>321</v>
      </c>
      <c r="P80" s="16">
        <v>3</v>
      </c>
      <c r="Q80" s="10">
        <v>3</v>
      </c>
      <c r="R80" s="10">
        <v>4</v>
      </c>
      <c r="S80" s="10">
        <v>4</v>
      </c>
    </row>
    <row r="81" spans="3:19">
      <c r="C81" s="10" t="s">
        <v>322</v>
      </c>
      <c r="D81" s="10" t="s">
        <v>323</v>
      </c>
      <c r="E81" s="10">
        <v>4</v>
      </c>
      <c r="F81" s="10" t="s">
        <v>324</v>
      </c>
      <c r="G81" s="14" cm="1">
        <f t="array" ref="G81">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46127</v>
      </c>
      <c r="H81" s="14">
        <f>Table4[[#This Row],[ES]] + Table4[[#This Row],[Duration (days)]]</f>
        <v>46131</v>
      </c>
      <c r="I81" s="10" t="s">
        <v>175</v>
      </c>
      <c r="J81" s="10" t="s">
        <v>181</v>
      </c>
      <c r="K81" s="10" t="s">
        <v>325</v>
      </c>
      <c r="L81" s="10">
        <v>1</v>
      </c>
      <c r="M81" s="10">
        <v>3</v>
      </c>
      <c r="N81" s="15">
        <v>3.3</v>
      </c>
      <c r="O81" s="15" t="s">
        <v>326</v>
      </c>
      <c r="P81" s="16">
        <v>3</v>
      </c>
      <c r="Q81" s="10">
        <v>3</v>
      </c>
      <c r="R81" s="10">
        <v>4</v>
      </c>
      <c r="S81" s="10">
        <v>4</v>
      </c>
    </row>
    <row r="82" spans="3:19">
      <c r="C82" s="10" t="s">
        <v>327</v>
      </c>
      <c r="D82" s="10" t="s">
        <v>328</v>
      </c>
      <c r="E82" s="10">
        <v>8</v>
      </c>
      <c r="F82" s="10" t="s">
        <v>308</v>
      </c>
      <c r="G82" s="14" cm="1">
        <f t="array" ref="G82">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46106</v>
      </c>
      <c r="H82" s="14">
        <f>Table4[[#This Row],[ES]] + Table4[[#This Row],[Duration (days)]]</f>
        <v>46114</v>
      </c>
      <c r="I82" s="10" t="s">
        <v>175</v>
      </c>
      <c r="J82" s="10" t="s">
        <v>294</v>
      </c>
      <c r="K82" s="10" t="s">
        <v>329</v>
      </c>
      <c r="L82" s="10">
        <v>1</v>
      </c>
      <c r="M82" s="10">
        <v>4</v>
      </c>
      <c r="N82" s="15">
        <v>8</v>
      </c>
      <c r="O82" s="15" t="s">
        <v>330</v>
      </c>
      <c r="P82" s="16">
        <v>4</v>
      </c>
      <c r="Q82" s="10">
        <v>4</v>
      </c>
      <c r="R82" s="10">
        <v>8</v>
      </c>
      <c r="S82" s="10">
        <v>8</v>
      </c>
    </row>
    <row r="83" spans="3:19">
      <c r="C83" s="10" t="s">
        <v>331</v>
      </c>
      <c r="D83" s="10" t="s">
        <v>332</v>
      </c>
      <c r="E83" s="10">
        <v>12</v>
      </c>
      <c r="F83" s="10" t="s">
        <v>333</v>
      </c>
      <c r="G83" s="14" cm="1">
        <f t="array" ref="G83">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46133</v>
      </c>
      <c r="H83" s="14">
        <f>Table4[[#This Row],[ES]] + Table4[[#This Row],[Duration (days)]]</f>
        <v>46145</v>
      </c>
      <c r="I83" s="10" t="s">
        <v>300</v>
      </c>
      <c r="J83" s="10" t="s">
        <v>334</v>
      </c>
      <c r="K83" s="10" t="s">
        <v>335</v>
      </c>
      <c r="L83" s="10">
        <v>1</v>
      </c>
      <c r="M83" s="10">
        <v>4</v>
      </c>
      <c r="N83" s="15">
        <v>7.1</v>
      </c>
      <c r="O83" s="15" t="s">
        <v>336</v>
      </c>
      <c r="P83" s="16">
        <v>4</v>
      </c>
      <c r="Q83" s="10">
        <v>4</v>
      </c>
      <c r="R83" s="10">
        <v>12</v>
      </c>
      <c r="S83" s="10">
        <v>12</v>
      </c>
    </row>
    <row r="84" spans="3:19">
      <c r="C84" s="10" t="s">
        <v>337</v>
      </c>
      <c r="D84" s="10" t="s">
        <v>338</v>
      </c>
      <c r="E84" s="10">
        <v>6</v>
      </c>
      <c r="F84" s="10" t="s">
        <v>339</v>
      </c>
      <c r="G84" s="14" cm="1">
        <f t="array" ref="G84">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46073</v>
      </c>
      <c r="H84" s="14">
        <f>Table4[[#This Row],[ES]] + Table4[[#This Row],[Duration (days)]]</f>
        <v>46079</v>
      </c>
      <c r="I84" s="10" t="s">
        <v>340</v>
      </c>
      <c r="J84" s="10" t="s">
        <v>317</v>
      </c>
      <c r="K84" s="10" t="s">
        <v>341</v>
      </c>
      <c r="L84" s="10">
        <v>1</v>
      </c>
      <c r="M84" s="10">
        <v>6</v>
      </c>
      <c r="N84" s="15">
        <v>4.2</v>
      </c>
      <c r="O84" s="15" t="s">
        <v>342</v>
      </c>
      <c r="P84" s="16">
        <v>6</v>
      </c>
      <c r="Q84" s="10">
        <v>6</v>
      </c>
      <c r="R84" s="10">
        <v>6</v>
      </c>
      <c r="S84" s="10">
        <v>6</v>
      </c>
    </row>
    <row r="85" spans="3:19">
      <c r="C85" s="10" t="s">
        <v>343</v>
      </c>
      <c r="D85" s="10" t="s">
        <v>344</v>
      </c>
      <c r="E85" s="10">
        <v>4</v>
      </c>
      <c r="F85" s="10" t="s">
        <v>345</v>
      </c>
      <c r="G85" s="14" cm="1">
        <f t="array" ref="G85">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46146</v>
      </c>
      <c r="H85" s="14">
        <f>Table4[[#This Row],[ES]] + Table4[[#This Row],[Duration (days)]]</f>
        <v>46150</v>
      </c>
      <c r="I85" s="10" t="s">
        <v>175</v>
      </c>
      <c r="J85" s="10" t="s">
        <v>346</v>
      </c>
      <c r="K85" s="10" t="s">
        <v>347</v>
      </c>
      <c r="L85" s="10">
        <v>1</v>
      </c>
      <c r="M85" s="10">
        <v>6</v>
      </c>
      <c r="N85" s="15">
        <v>3</v>
      </c>
      <c r="O85" s="15" t="s">
        <v>348</v>
      </c>
      <c r="P85" s="16">
        <v>6</v>
      </c>
      <c r="Q85" s="10">
        <v>6</v>
      </c>
      <c r="R85" s="10">
        <v>4</v>
      </c>
      <c r="S85" s="10">
        <v>4</v>
      </c>
    </row>
    <row r="86" spans="3:19">
      <c r="C86" s="10" t="s">
        <v>349</v>
      </c>
      <c r="D86" s="10" t="s">
        <v>350</v>
      </c>
      <c r="E86" s="10">
        <v>3</v>
      </c>
      <c r="F86" s="10" t="s">
        <v>343</v>
      </c>
      <c r="G86" s="14" cm="1">
        <f t="array" ref="G86">IF(Table4[[#This Row],[Relationship]]="",
   $L$2,
   MAX(
     _xlfn.LET(
        _xlpm.preds, TRIM(_xlfn.TEXTSPLIT(Table4[[#This Row],[Relationship]],",")),
        _xlpm.types, TRIM(_xlfn.TEXTSPLIT(Table4[[#This Row],[Relation type]],",")),
        _xlpm.lags,  --_xlfn.TEXTSPLIT(Table4[[#This Row],[Lag]],","),
        _xlpm.results,
          IF(_xlpm.types="FS",
             _xlfn.XLOOKUP(_xlpm.preds,Table4[Activity],Table4[EF]) + _xlpm.lags,
          IF(_xlpm.types="SS",
             _xlfn.XLOOKUP(_xlpm.preds,Table4[Activity],Table4[ES]) + _xlpm.lags,
          IF(_xlpm.types="FF",
             _xlfn.XLOOKUP(_xlpm.preds,Table4[Activity],Table4[EF]) + _xlpm.lags - Table4[[#This Row],[Duration (days)]],
          IF(_xlpm.types="SF",
             _xlfn.XLOOKUP(_xlpm.preds,Table4[Activity],Table4[ES]) + _xlpm.lags - Table4[[#This Row],[Duration (days)]],
          )))),
        MAX(_xlpm.results)
     )
   )
)</f>
        <v>46150</v>
      </c>
      <c r="H86" s="14">
        <f>Table4[[#This Row],[ES]] + Table4[[#This Row],[Duration (days)]]</f>
        <v>46153</v>
      </c>
      <c r="I86" s="10" t="s">
        <v>64</v>
      </c>
      <c r="J86" s="10">
        <v>0</v>
      </c>
      <c r="K86" s="10" t="s">
        <v>351</v>
      </c>
      <c r="L86" s="10">
        <v>1</v>
      </c>
      <c r="M86" s="10">
        <v>4</v>
      </c>
      <c r="N86" s="15" t="s">
        <v>352</v>
      </c>
      <c r="O86" s="15" t="s">
        <v>353</v>
      </c>
      <c r="P86" s="16">
        <v>4</v>
      </c>
      <c r="Q86" s="10">
        <v>4</v>
      </c>
      <c r="R86" s="10">
        <v>3</v>
      </c>
      <c r="S86" s="10">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530A-FA01-4149-83A0-F4E08E3E3CA7}">
  <dimension ref="A2:B9"/>
  <sheetViews>
    <sheetView zoomScale="142" workbookViewId="0">
      <selection activeCell="B17" sqref="B17"/>
    </sheetView>
  </sheetViews>
  <sheetFormatPr defaultColWidth="11.42578125" defaultRowHeight="15"/>
  <cols>
    <col min="2" max="2" width="255.7109375" customWidth="1"/>
  </cols>
  <sheetData>
    <row r="2" spans="1:2" ht="21" customHeight="1">
      <c r="A2" s="22" t="s">
        <v>354</v>
      </c>
      <c r="B2" s="20" t="s">
        <v>355</v>
      </c>
    </row>
    <row r="3" spans="1:2">
      <c r="A3" s="10"/>
      <c r="B3" s="10"/>
    </row>
    <row r="4" spans="1:2">
      <c r="A4" s="23" t="s">
        <v>356</v>
      </c>
      <c r="B4" s="21" t="s">
        <v>357</v>
      </c>
    </row>
    <row r="5" spans="1:2">
      <c r="B5" s="6" t="s">
        <v>358</v>
      </c>
    </row>
    <row r="6" spans="1:2">
      <c r="B6" s="6" t="s">
        <v>359</v>
      </c>
    </row>
    <row r="7" spans="1:2">
      <c r="B7" s="6" t="s">
        <v>360</v>
      </c>
    </row>
    <row r="8" spans="1:2">
      <c r="B8" s="6" t="s">
        <v>361</v>
      </c>
    </row>
    <row r="9" spans="1:2">
      <c r="B9" s="6" t="s">
        <v>362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26F07-4034-A24A-888B-DE81593A8841}">
  <dimension ref="A2:E8"/>
  <sheetViews>
    <sheetView topLeftCell="A2" zoomScale="150" zoomScaleNormal="140" workbookViewId="0">
      <selection activeCell="B8" sqref="B8"/>
    </sheetView>
  </sheetViews>
  <sheetFormatPr defaultColWidth="11.42578125" defaultRowHeight="15"/>
  <cols>
    <col min="2" max="2" width="255.7109375" customWidth="1"/>
  </cols>
  <sheetData>
    <row r="2" spans="1:5" ht="24">
      <c r="A2" s="22" t="s">
        <v>354</v>
      </c>
      <c r="B2" s="20" t="s">
        <v>363</v>
      </c>
      <c r="C2" s="24"/>
      <c r="D2" s="24"/>
      <c r="E2" s="24"/>
    </row>
    <row r="3" spans="1:5">
      <c r="A3" s="10"/>
      <c r="B3" s="10"/>
    </row>
    <row r="4" spans="1:5">
      <c r="A4" s="23" t="s">
        <v>356</v>
      </c>
      <c r="B4" s="6" t="s">
        <v>364</v>
      </c>
    </row>
    <row r="5" spans="1:5">
      <c r="B5" s="6" t="s">
        <v>365</v>
      </c>
    </row>
    <row r="6" spans="1:5">
      <c r="B6" t="s">
        <v>366</v>
      </c>
    </row>
    <row r="7" spans="1:5">
      <c r="B7" t="s">
        <v>367</v>
      </c>
    </row>
    <row r="8" spans="1:5">
      <c r="B8" t="s">
        <v>368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C159-DC51-4928-8BF4-29A54530B8F5}">
  <dimension ref="A2:C6"/>
  <sheetViews>
    <sheetView tabSelected="1" workbookViewId="0">
      <selection activeCell="D4" sqref="D4"/>
    </sheetView>
  </sheetViews>
  <sheetFormatPr defaultRowHeight="15"/>
  <cols>
    <col min="2" max="2" width="16.5703125" bestFit="1" customWidth="1"/>
  </cols>
  <sheetData>
    <row r="2" spans="1:3" ht="21">
      <c r="B2" s="25" t="s">
        <v>369</v>
      </c>
      <c r="C2" s="26"/>
    </row>
    <row r="4" spans="1:3">
      <c r="A4">
        <v>1</v>
      </c>
      <c r="B4" t="s">
        <v>370</v>
      </c>
      <c r="C4">
        <v>220330</v>
      </c>
    </row>
    <row r="5" spans="1:3">
      <c r="A5">
        <v>2</v>
      </c>
      <c r="B5" t="s">
        <v>371</v>
      </c>
      <c r="C5">
        <v>220855</v>
      </c>
    </row>
    <row r="6" spans="1:3">
      <c r="A6">
        <v>3</v>
      </c>
      <c r="B6" t="s">
        <v>372</v>
      </c>
      <c r="C6">
        <v>221031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2025-09-21T16:37:47Z</dcterms:created>
  <dcterms:modified xsi:type="dcterms:W3CDTF">2025-09-23T15:27:17Z</dcterms:modified>
  <cp:category/>
  <cp:contentStatus/>
</cp:coreProperties>
</file>