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06"/>
  <workbookPr/>
  <mc:AlternateContent xmlns:mc="http://schemas.openxmlformats.org/markup-compatibility/2006">
    <mc:Choice Requires="x15">
      <x15ac:absPath xmlns:x15ac="http://schemas.microsoft.com/office/spreadsheetml/2010/11/ac" url="https://iitk-my.sharepoint.com/personal/ckothari_iitk_ac_in/Documents/8. Teaching/8. CE716 - Project management and control/2_2025-26 I Semester/Lectures/Lecture 13/"/>
    </mc:Choice>
  </mc:AlternateContent>
  <xr:revisionPtr revIDLastSave="0" documentId="8_{1CDDC966-724C-4B8D-A6AB-B2C0989AC7A8}" xr6:coauthVersionLast="47" xr6:coauthVersionMax="47" xr10:uidLastSave="{00000000-0000-0000-0000-000000000000}"/>
  <bookViews>
    <workbookView xWindow="-120" yWindow="-120" windowWidth="29040" windowHeight="15720" firstSheet="2" xr2:uid="{00000000-000D-0000-FFFF-FFFF00000000}"/>
  </bookViews>
  <sheets>
    <sheet name="Question" sheetId="3" r:id="rId1"/>
    <sheet name="Sheet1" sheetId="4" r:id="rId2"/>
    <sheet name="Sheet2"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 i="4" l="1"/>
  <c r="M26" i="4"/>
  <c r="N26" i="4"/>
  <c r="O26" i="4"/>
  <c r="P26" i="4"/>
  <c r="Q26" i="4"/>
  <c r="R26" i="4"/>
  <c r="S26" i="4"/>
  <c r="T26" i="4"/>
  <c r="U26" i="4"/>
  <c r="V26" i="4"/>
  <c r="W26" i="4"/>
  <c r="X26" i="4"/>
  <c r="K26" i="4"/>
  <c r="K12" i="4"/>
  <c r="L12" i="4"/>
  <c r="M12" i="4"/>
  <c r="N12" i="4"/>
  <c r="O12" i="4"/>
  <c r="P12" i="4"/>
  <c r="Q12" i="4"/>
  <c r="R12" i="4"/>
  <c r="S12" i="4"/>
  <c r="T12" i="4"/>
  <c r="U12" i="4"/>
  <c r="V12" i="4"/>
  <c r="W12" i="4"/>
  <c r="X12" i="4"/>
  <c r="K13" i="4"/>
  <c r="L13" i="4"/>
  <c r="M13" i="4"/>
  <c r="N13" i="4"/>
  <c r="O13" i="4"/>
  <c r="P13" i="4"/>
  <c r="Q13" i="4"/>
  <c r="R13" i="4"/>
  <c r="S13" i="4"/>
  <c r="T13" i="4"/>
  <c r="U13" i="4"/>
  <c r="V13" i="4"/>
  <c r="W13" i="4"/>
  <c r="X13" i="4"/>
  <c r="K14" i="4"/>
  <c r="L14" i="4"/>
  <c r="M14" i="4"/>
  <c r="N14" i="4"/>
  <c r="O14" i="4"/>
  <c r="P14" i="4"/>
  <c r="Q14" i="4"/>
  <c r="R14" i="4"/>
  <c r="S14" i="4"/>
  <c r="T14" i="4"/>
  <c r="U14" i="4"/>
  <c r="V14" i="4"/>
  <c r="W14" i="4"/>
  <c r="X14" i="4"/>
  <c r="K15" i="4"/>
  <c r="L15" i="4"/>
  <c r="M15" i="4"/>
  <c r="N15" i="4"/>
  <c r="O15" i="4"/>
  <c r="P15" i="4"/>
  <c r="Q15" i="4"/>
  <c r="R15" i="4"/>
  <c r="S15" i="4"/>
  <c r="T15" i="4"/>
  <c r="U15" i="4"/>
  <c r="V15" i="4"/>
  <c r="W15" i="4"/>
  <c r="X15" i="4"/>
  <c r="L11" i="4"/>
  <c r="L16" i="4" s="1"/>
  <c r="M11" i="4"/>
  <c r="M16" i="4" s="1"/>
  <c r="N11" i="4"/>
  <c r="N16" i="4" s="1"/>
  <c r="O11" i="4"/>
  <c r="O16" i="4" s="1"/>
  <c r="P11" i="4"/>
  <c r="P16" i="4" s="1"/>
  <c r="Q11" i="4"/>
  <c r="Q16" i="4" s="1"/>
  <c r="R11" i="4"/>
  <c r="R16" i="4" s="1"/>
  <c r="S11" i="4"/>
  <c r="S16" i="4" s="1"/>
  <c r="T11" i="4"/>
  <c r="T16" i="4" s="1"/>
  <c r="U11" i="4"/>
  <c r="U16" i="4" s="1"/>
  <c r="V11" i="4"/>
  <c r="V16" i="4" s="1"/>
  <c r="W11" i="4"/>
  <c r="W16" i="4" s="1"/>
  <c r="X11" i="4"/>
  <c r="X16" i="4" s="1"/>
  <c r="K11" i="4"/>
  <c r="K4" i="4"/>
  <c r="L4" i="4"/>
  <c r="M4" i="4"/>
  <c r="N4" i="4"/>
  <c r="O4" i="4"/>
  <c r="P4" i="4"/>
  <c r="Q4" i="4"/>
  <c r="R4" i="4"/>
  <c r="S4" i="4"/>
  <c r="T4" i="4"/>
  <c r="U4" i="4"/>
  <c r="V4" i="4"/>
  <c r="W4" i="4"/>
  <c r="X4" i="4"/>
  <c r="K5" i="4"/>
  <c r="L5" i="4"/>
  <c r="M5" i="4"/>
  <c r="N5" i="4"/>
  <c r="O5" i="4"/>
  <c r="P5" i="4"/>
  <c r="Q5" i="4"/>
  <c r="R5" i="4"/>
  <c r="S5" i="4"/>
  <c r="T5" i="4"/>
  <c r="U5" i="4"/>
  <c r="V5" i="4"/>
  <c r="W5" i="4"/>
  <c r="X5" i="4"/>
  <c r="K6" i="4"/>
  <c r="L6" i="4"/>
  <c r="M6" i="4"/>
  <c r="N6" i="4"/>
  <c r="O6" i="4"/>
  <c r="P6" i="4"/>
  <c r="Q6" i="4"/>
  <c r="R6" i="4"/>
  <c r="S6" i="4"/>
  <c r="T6" i="4"/>
  <c r="U6" i="4"/>
  <c r="V6" i="4"/>
  <c r="W6" i="4"/>
  <c r="X6" i="4"/>
  <c r="K7" i="4"/>
  <c r="L7" i="4"/>
  <c r="M7" i="4"/>
  <c r="N7" i="4"/>
  <c r="O7" i="4"/>
  <c r="P7" i="4"/>
  <c r="Q7" i="4"/>
  <c r="R7" i="4"/>
  <c r="S7" i="4"/>
  <c r="T7" i="4"/>
  <c r="U7" i="4"/>
  <c r="V7" i="4"/>
  <c r="W7" i="4"/>
  <c r="X7" i="4"/>
  <c r="L3" i="4"/>
  <c r="L8" i="4" s="1"/>
  <c r="M3" i="4"/>
  <c r="M8" i="4" s="1"/>
  <c r="N3" i="4"/>
  <c r="N8" i="4" s="1"/>
  <c r="O3" i="4"/>
  <c r="O8" i="4" s="1"/>
  <c r="P3" i="4"/>
  <c r="P8" i="4" s="1"/>
  <c r="Q3" i="4"/>
  <c r="Q8" i="4" s="1"/>
  <c r="R3" i="4"/>
  <c r="R8" i="4" s="1"/>
  <c r="S3" i="4"/>
  <c r="S8" i="4" s="1"/>
  <c r="T3" i="4"/>
  <c r="T8" i="4" s="1"/>
  <c r="U3" i="4"/>
  <c r="U8" i="4" s="1"/>
  <c r="V3" i="4"/>
  <c r="V8" i="4" s="1"/>
  <c r="W3" i="4"/>
  <c r="W8" i="4" s="1"/>
  <c r="X3" i="4"/>
  <c r="X8" i="4" s="1"/>
  <c r="K3" i="4"/>
  <c r="K8" i="4" s="1"/>
  <c r="Z8" i="4" s="1"/>
  <c r="I6" i="3"/>
  <c r="I7" i="3"/>
  <c r="I8" i="3"/>
  <c r="I9" i="3"/>
  <c r="I5" i="3"/>
  <c r="Y11" i="4" l="1"/>
  <c r="K16" i="4"/>
  <c r="Y15" i="4"/>
  <c r="Y14" i="4"/>
  <c r="Y13" i="4"/>
  <c r="Y12" i="4"/>
  <c r="Y16" i="4" l="1"/>
  <c r="Z16" i="4"/>
</calcChain>
</file>

<file path=xl/sharedStrings.xml><?xml version="1.0" encoding="utf-8"?>
<sst xmlns="http://schemas.openxmlformats.org/spreadsheetml/2006/main" count="111" uniqueCount="36">
  <si>
    <t>Conduct Resource Allocation and Levelling for the following network.
Can the work be performed with maximum 6 labourers without delaying the project?
Has the critical path (or critical activities) changed after resource levelling excerise?
What would you do if the maximum possible labour is 5 each day?</t>
  </si>
  <si>
    <t>Activity</t>
  </si>
  <si>
    <t>Preceeding activity (FS)</t>
  </si>
  <si>
    <t>Duration</t>
  </si>
  <si>
    <t>Laborers</t>
  </si>
  <si>
    <t>EST</t>
  </si>
  <si>
    <t>EFT</t>
  </si>
  <si>
    <t>LST</t>
  </si>
  <si>
    <t>LFT</t>
  </si>
  <si>
    <t>Critical Activity (Yes/No)</t>
  </si>
  <si>
    <t>A</t>
  </si>
  <si>
    <t>-</t>
  </si>
  <si>
    <t>B</t>
  </si>
  <si>
    <t>C</t>
  </si>
  <si>
    <t>D</t>
  </si>
  <si>
    <t>A,B</t>
  </si>
  <si>
    <t>E</t>
  </si>
  <si>
    <t>C,D</t>
  </si>
  <si>
    <t>Based on EST</t>
  </si>
  <si>
    <t>Days</t>
  </si>
  <si>
    <t>Create a bar chart from the table</t>
  </si>
  <si>
    <t>No</t>
  </si>
  <si>
    <t>Resource allocation</t>
  </si>
  <si>
    <t>Yes</t>
  </si>
  <si>
    <t>Total Laborers</t>
  </si>
  <si>
    <t>Total</t>
  </si>
  <si>
    <t>Based on LST</t>
  </si>
  <si>
    <t>Then use anyone for levelling to reduce fluctuations. Reduce the fluctuations.</t>
  </si>
  <si>
    <t>Levelling</t>
  </si>
  <si>
    <t>Dono ko dekhke combined banana hai.</t>
  </si>
  <si>
    <t>Yes (Ig because now we can't dalay A as it is already  standing at LFT!!)</t>
  </si>
  <si>
    <t>Ye reason galat lag raha hai</t>
  </si>
  <si>
    <t>Max resource allocation kam ho jaata hai for example 7 to 6 ho gya for days 6 and 7</t>
  </si>
  <si>
    <t>Ans2 Yes after resource allocation/loading and resource levelling(Time constraint) we have seen that max 6 laborers were required for each day.</t>
  </si>
  <si>
    <t>Ans3 Sir said that Activity A will also become critical!!</t>
  </si>
  <si>
    <t>Ans4 Resource allocation(Resource constraint) that is we have to assign priorities to the activities on each day describing which activity will get the resources first.  Then, we may have to shift the activities to upcoming days. In this process floats of activities may be utilised. And if the critical activity is shifted that may lead to the increase in the project's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</si>
</sst>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Aptos Narrow"/>
      <family val="2"/>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wrapText="1"/>
    </xf>
    <xf numFmtId="0" fontId="0" fillId="0" borderId="0" xfId="0" applyAlignment="1">
      <alignment horizontal="center" wrapText="1"/>
    </xf>
    <xf numFmtId="14" fontId="2" fillId="0" borderId="0" xfId="0" applyNumberFormat="1" applyFont="1"/>
    <xf numFmtId="0" fontId="0" fillId="2" borderId="0" xfId="0" applyFill="1"/>
    <xf numFmtId="0" fontId="0" fillId="0" borderId="0" xfId="0" applyAlignment="1">
      <alignment wrapText="1"/>
    </xf>
    <xf numFmtId="0" fontId="0" fillId="3" borderId="0" xfId="0" applyFill="1"/>
    <xf numFmtId="0" fontId="0" fillId="4" borderId="0" xfId="0" applyFill="1" applyAlignment="1">
      <alignment wrapText="1"/>
    </xf>
    <xf numFmtId="0" fontId="0" fillId="5" borderId="0" xfId="0" applyFill="1" applyAlignment="1">
      <alignment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D5C6-2828-4363-9D7F-C2ECEC3F0F41}">
  <dimension ref="A1:O23"/>
  <sheetViews>
    <sheetView tabSelected="1" zoomScale="168" workbookViewId="0">
      <selection activeCell="E6" sqref="E6"/>
    </sheetView>
  </sheetViews>
  <sheetFormatPr defaultRowHeight="15"/>
  <cols>
    <col min="1" max="1" width="13.85546875" customWidth="1"/>
    <col min="2" max="2" width="16.5703125" style="3" bestFit="1" customWidth="1"/>
    <col min="3" max="4" width="16.5703125" style="3" customWidth="1"/>
    <col min="5" max="5" width="11.42578125" style="3" customWidth="1"/>
    <col min="9" max="9" width="22.5703125" bestFit="1" customWidth="1"/>
    <col min="15" max="15" width="9.85546875" bestFit="1" customWidth="1"/>
  </cols>
  <sheetData>
    <row r="1" spans="1:15">
      <c r="A1" s="13" t="s">
        <v>0</v>
      </c>
      <c r="B1" s="14"/>
      <c r="C1" s="14"/>
      <c r="D1" s="14"/>
      <c r="E1" s="14"/>
      <c r="F1" s="14"/>
    </row>
    <row r="2" spans="1:15">
      <c r="A2" s="14"/>
      <c r="B2" s="14"/>
      <c r="C2" s="14"/>
      <c r="D2" s="14"/>
      <c r="E2" s="14"/>
      <c r="F2" s="14"/>
      <c r="O2" s="7">
        <v>45931</v>
      </c>
    </row>
    <row r="3" spans="1:15" ht="39.6" customHeight="1">
      <c r="A3" s="14"/>
      <c r="B3" s="14"/>
      <c r="C3" s="14"/>
      <c r="D3" s="14"/>
      <c r="E3" s="14"/>
      <c r="F3" s="14"/>
    </row>
    <row r="4" spans="1:15" ht="45">
      <c r="A4" s="1" t="s">
        <v>1</v>
      </c>
      <c r="B4" s="5" t="s">
        <v>2</v>
      </c>
      <c r="C4" s="2" t="s">
        <v>3</v>
      </c>
      <c r="D4" s="2" t="s">
        <v>4</v>
      </c>
      <c r="E4" s="2" t="s">
        <v>5</v>
      </c>
      <c r="F4" s="2" t="s">
        <v>6</v>
      </c>
      <c r="G4" s="2" t="s">
        <v>7</v>
      </c>
      <c r="H4" s="2" t="s">
        <v>8</v>
      </c>
      <c r="I4" s="5" t="s">
        <v>9</v>
      </c>
      <c r="J4" s="2"/>
      <c r="K4" s="2"/>
    </row>
    <row r="5" spans="1:15">
      <c r="A5" t="s">
        <v>10</v>
      </c>
      <c r="B5" s="2" t="s">
        <v>11</v>
      </c>
      <c r="C5" s="3">
        <v>5</v>
      </c>
      <c r="D5" s="3">
        <v>2</v>
      </c>
      <c r="E5" s="6">
        <v>0</v>
      </c>
      <c r="F5" s="1">
        <v>5</v>
      </c>
      <c r="G5" s="3">
        <v>2</v>
      </c>
      <c r="H5" s="1">
        <v>7</v>
      </c>
      <c r="I5" s="1" t="str">
        <f>IF(H5-F5=0,"Yes","No")</f>
        <v>No</v>
      </c>
      <c r="J5" s="1"/>
      <c r="K5" s="1"/>
    </row>
    <row r="6" spans="1:15">
      <c r="A6" t="s">
        <v>12</v>
      </c>
      <c r="B6" s="3" t="s">
        <v>11</v>
      </c>
      <c r="C6" s="3">
        <v>7</v>
      </c>
      <c r="D6" s="3">
        <v>4</v>
      </c>
      <c r="E6" s="3">
        <v>0</v>
      </c>
      <c r="F6">
        <v>7</v>
      </c>
      <c r="G6" s="3">
        <v>0</v>
      </c>
      <c r="H6">
        <v>7</v>
      </c>
      <c r="I6" s="1" t="str">
        <f t="shared" ref="I6:I9" si="0">IF(H6-F6=0,"Yes","No")</f>
        <v>Yes</v>
      </c>
    </row>
    <row r="7" spans="1:15">
      <c r="A7" t="s">
        <v>13</v>
      </c>
      <c r="B7" s="3" t="s">
        <v>10</v>
      </c>
      <c r="C7" s="3">
        <v>3</v>
      </c>
      <c r="D7" s="3">
        <v>3</v>
      </c>
      <c r="E7" s="3">
        <v>5</v>
      </c>
      <c r="F7">
        <v>8</v>
      </c>
      <c r="G7" s="3">
        <v>9</v>
      </c>
      <c r="H7">
        <v>12</v>
      </c>
      <c r="I7" s="1" t="str">
        <f t="shared" si="0"/>
        <v>No</v>
      </c>
    </row>
    <row r="8" spans="1:15">
      <c r="A8" t="s">
        <v>14</v>
      </c>
      <c r="B8" s="3" t="s">
        <v>15</v>
      </c>
      <c r="C8" s="3">
        <v>5</v>
      </c>
      <c r="D8" s="3">
        <v>3</v>
      </c>
      <c r="E8" s="3">
        <v>7</v>
      </c>
      <c r="F8">
        <v>12</v>
      </c>
      <c r="G8" s="3">
        <v>7</v>
      </c>
      <c r="H8">
        <v>12</v>
      </c>
      <c r="I8" s="1" t="str">
        <f t="shared" si="0"/>
        <v>Yes</v>
      </c>
    </row>
    <row r="9" spans="1:15">
      <c r="A9" t="s">
        <v>16</v>
      </c>
      <c r="B9" s="3" t="s">
        <v>17</v>
      </c>
      <c r="C9" s="3">
        <v>2</v>
      </c>
      <c r="D9" s="3">
        <v>2</v>
      </c>
      <c r="E9" s="3">
        <v>12</v>
      </c>
      <c r="F9">
        <v>14</v>
      </c>
      <c r="G9" s="3">
        <v>12</v>
      </c>
      <c r="H9">
        <v>14</v>
      </c>
      <c r="I9" s="1" t="str">
        <f t="shared" si="0"/>
        <v>Yes</v>
      </c>
    </row>
    <row r="12" spans="1:15">
      <c r="E12" s="4"/>
      <c r="F12" s="4"/>
      <c r="G12" s="4"/>
      <c r="H12" s="4"/>
      <c r="I12" s="4"/>
      <c r="J12" s="4"/>
      <c r="K12" s="4"/>
      <c r="L12" s="4"/>
    </row>
    <row r="15" spans="1:15">
      <c r="A15" s="1"/>
      <c r="B15" s="2"/>
      <c r="C15" s="2"/>
      <c r="D15" s="2"/>
      <c r="E15" s="2"/>
      <c r="F15" s="2"/>
      <c r="G15" s="2"/>
      <c r="H15" s="2"/>
      <c r="I15" s="2"/>
      <c r="J15" s="2"/>
      <c r="K15" s="2"/>
    </row>
    <row r="16" spans="1:15">
      <c r="A16" s="1"/>
      <c r="B16" s="2"/>
      <c r="C16" s="2"/>
      <c r="D16" s="2"/>
      <c r="E16" s="2"/>
      <c r="F16" s="1"/>
      <c r="G16" s="1"/>
      <c r="H16" s="1"/>
      <c r="I16" s="1"/>
      <c r="J16" s="1"/>
      <c r="K16" s="1"/>
    </row>
    <row r="23" spans="5:12">
      <c r="E23" s="4"/>
      <c r="F23" s="4"/>
      <c r="G23" s="4"/>
      <c r="H23" s="4"/>
      <c r="I23" s="4"/>
      <c r="J23" s="4"/>
      <c r="K23" s="4"/>
      <c r="L23" s="4"/>
    </row>
  </sheetData>
  <mergeCells count="1">
    <mergeCell ref="A1: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AEF3D-F474-4623-9C97-C50274E8A239}">
  <dimension ref="A1:AB26"/>
  <sheetViews>
    <sheetView topLeftCell="F1" workbookViewId="0">
      <selection activeCell="L11" sqref="L11"/>
    </sheetView>
  </sheetViews>
  <sheetFormatPr defaultRowHeight="15"/>
  <cols>
    <col min="1" max="1" width="12.42578125" bestFit="1" customWidth="1"/>
    <col min="9" max="9" width="23.28515625" customWidth="1"/>
    <col min="10" max="10" width="24.7109375" bestFit="1" customWidth="1"/>
    <col min="11" max="11" width="26.5703125" bestFit="1" customWidth="1"/>
    <col min="25" max="25" width="29.5703125" bestFit="1" customWidth="1"/>
    <col min="26" max="26" width="13.28515625" bestFit="1" customWidth="1"/>
    <col min="28" max="28" width="36.5703125" bestFit="1" customWidth="1"/>
  </cols>
  <sheetData>
    <row r="1" spans="1:27">
      <c r="A1" s="16" t="s">
        <v>18</v>
      </c>
      <c r="K1" s="15" t="s">
        <v>19</v>
      </c>
      <c r="L1" s="15"/>
      <c r="M1" s="15"/>
      <c r="N1" s="15"/>
      <c r="O1" s="15"/>
      <c r="P1" s="15"/>
      <c r="Q1" s="15"/>
      <c r="R1" s="15"/>
      <c r="S1" s="15"/>
      <c r="T1" s="15"/>
      <c r="U1" s="15"/>
      <c r="V1" s="15"/>
      <c r="W1" s="15"/>
      <c r="X1" s="15"/>
      <c r="Y1" s="15"/>
      <c r="Z1" s="15"/>
    </row>
    <row r="2" spans="1:27">
      <c r="A2" t="s">
        <v>1</v>
      </c>
      <c r="B2" t="s">
        <v>2</v>
      </c>
      <c r="C2" t="s">
        <v>3</v>
      </c>
      <c r="D2" t="s">
        <v>4</v>
      </c>
      <c r="E2" t="s">
        <v>5</v>
      </c>
      <c r="F2" t="s">
        <v>6</v>
      </c>
      <c r="G2" t="s">
        <v>7</v>
      </c>
      <c r="H2" t="s">
        <v>8</v>
      </c>
      <c r="I2" t="s">
        <v>9</v>
      </c>
      <c r="K2">
        <v>1</v>
      </c>
      <c r="L2">
        <v>2</v>
      </c>
      <c r="M2">
        <v>3</v>
      </c>
      <c r="N2">
        <v>4</v>
      </c>
      <c r="O2">
        <v>5</v>
      </c>
      <c r="P2">
        <v>6</v>
      </c>
      <c r="Q2">
        <v>7</v>
      </c>
      <c r="R2">
        <v>8</v>
      </c>
      <c r="S2">
        <v>9</v>
      </c>
      <c r="T2">
        <v>10</v>
      </c>
      <c r="U2">
        <v>11</v>
      </c>
      <c r="V2">
        <v>12</v>
      </c>
      <c r="W2">
        <v>13</v>
      </c>
      <c r="X2">
        <v>14</v>
      </c>
      <c r="Y2" t="s">
        <v>20</v>
      </c>
    </row>
    <row r="3" spans="1:27">
      <c r="A3" t="s">
        <v>10</v>
      </c>
      <c r="B3" t="s">
        <v>11</v>
      </c>
      <c r="C3">
        <v>5</v>
      </c>
      <c r="D3">
        <v>2</v>
      </c>
      <c r="E3">
        <v>0</v>
      </c>
      <c r="F3">
        <v>5</v>
      </c>
      <c r="G3">
        <v>2</v>
      </c>
      <c r="H3">
        <v>7</v>
      </c>
      <c r="I3" t="s">
        <v>21</v>
      </c>
      <c r="K3">
        <f>IF(AND(K$2&gt;$E3,K$2&lt;=$F3),$D3,0)</f>
        <v>2</v>
      </c>
      <c r="L3">
        <f t="shared" ref="L3:X7" si="0">IF(AND(L$2&gt;$E3,L$2&lt;=$F3),$D3,0)</f>
        <v>2</v>
      </c>
      <c r="M3">
        <f t="shared" si="0"/>
        <v>2</v>
      </c>
      <c r="N3">
        <f t="shared" si="0"/>
        <v>2</v>
      </c>
      <c r="O3">
        <f t="shared" si="0"/>
        <v>2</v>
      </c>
      <c r="P3">
        <f t="shared" si="0"/>
        <v>0</v>
      </c>
      <c r="Q3">
        <f t="shared" si="0"/>
        <v>0</v>
      </c>
      <c r="R3">
        <f t="shared" si="0"/>
        <v>0</v>
      </c>
      <c r="S3">
        <f t="shared" si="0"/>
        <v>0</v>
      </c>
      <c r="T3">
        <f t="shared" si="0"/>
        <v>0</v>
      </c>
      <c r="U3">
        <f t="shared" si="0"/>
        <v>0</v>
      </c>
      <c r="V3">
        <f t="shared" si="0"/>
        <v>0</v>
      </c>
      <c r="W3">
        <f t="shared" si="0"/>
        <v>0</v>
      </c>
      <c r="X3">
        <f t="shared" si="0"/>
        <v>0</v>
      </c>
      <c r="AA3" t="s">
        <v>22</v>
      </c>
    </row>
    <row r="4" spans="1:27">
      <c r="A4" t="s">
        <v>12</v>
      </c>
      <c r="B4" t="s">
        <v>11</v>
      </c>
      <c r="C4">
        <v>7</v>
      </c>
      <c r="D4">
        <v>4</v>
      </c>
      <c r="E4">
        <v>0</v>
      </c>
      <c r="F4">
        <v>7</v>
      </c>
      <c r="G4">
        <v>0</v>
      </c>
      <c r="H4">
        <v>7</v>
      </c>
      <c r="I4" t="s">
        <v>23</v>
      </c>
      <c r="K4">
        <f t="shared" ref="K4:K7" si="1">IF(AND(K$2&gt;$E4,K$2&lt;=$F4),$D4,0)</f>
        <v>4</v>
      </c>
      <c r="L4">
        <f t="shared" si="0"/>
        <v>4</v>
      </c>
      <c r="M4">
        <f t="shared" si="0"/>
        <v>4</v>
      </c>
      <c r="N4">
        <f t="shared" si="0"/>
        <v>4</v>
      </c>
      <c r="O4">
        <f t="shared" si="0"/>
        <v>4</v>
      </c>
      <c r="P4">
        <f t="shared" si="0"/>
        <v>4</v>
      </c>
      <c r="Q4">
        <f t="shared" si="0"/>
        <v>4</v>
      </c>
      <c r="R4">
        <f t="shared" si="0"/>
        <v>0</v>
      </c>
      <c r="S4">
        <f t="shared" si="0"/>
        <v>0</v>
      </c>
      <c r="T4">
        <f t="shared" si="0"/>
        <v>0</v>
      </c>
      <c r="U4">
        <f t="shared" si="0"/>
        <v>0</v>
      </c>
      <c r="V4">
        <f t="shared" si="0"/>
        <v>0</v>
      </c>
      <c r="W4">
        <f t="shared" si="0"/>
        <v>0</v>
      </c>
      <c r="X4">
        <f t="shared" si="0"/>
        <v>0</v>
      </c>
    </row>
    <row r="5" spans="1:27">
      <c r="A5" t="s">
        <v>13</v>
      </c>
      <c r="B5" t="s">
        <v>10</v>
      </c>
      <c r="C5">
        <v>3</v>
      </c>
      <c r="D5">
        <v>3</v>
      </c>
      <c r="E5">
        <v>5</v>
      </c>
      <c r="F5">
        <v>8</v>
      </c>
      <c r="G5">
        <v>9</v>
      </c>
      <c r="H5">
        <v>12</v>
      </c>
      <c r="I5" t="s">
        <v>21</v>
      </c>
      <c r="K5">
        <f t="shared" si="1"/>
        <v>0</v>
      </c>
      <c r="L5">
        <f t="shared" si="0"/>
        <v>0</v>
      </c>
      <c r="M5">
        <f t="shared" si="0"/>
        <v>0</v>
      </c>
      <c r="N5">
        <f t="shared" si="0"/>
        <v>0</v>
      </c>
      <c r="O5">
        <f t="shared" si="0"/>
        <v>0</v>
      </c>
      <c r="P5">
        <f t="shared" si="0"/>
        <v>3</v>
      </c>
      <c r="Q5">
        <f t="shared" si="0"/>
        <v>3</v>
      </c>
      <c r="R5">
        <f t="shared" si="0"/>
        <v>3</v>
      </c>
      <c r="S5">
        <f t="shared" si="0"/>
        <v>0</v>
      </c>
      <c r="T5">
        <f t="shared" si="0"/>
        <v>0</v>
      </c>
      <c r="U5">
        <f t="shared" si="0"/>
        <v>0</v>
      </c>
      <c r="V5">
        <f t="shared" si="0"/>
        <v>0</v>
      </c>
      <c r="W5">
        <f t="shared" si="0"/>
        <v>0</v>
      </c>
      <c r="X5">
        <f t="shared" si="0"/>
        <v>0</v>
      </c>
    </row>
    <row r="6" spans="1:27">
      <c r="A6" t="s">
        <v>14</v>
      </c>
      <c r="B6" t="s">
        <v>15</v>
      </c>
      <c r="C6">
        <v>5</v>
      </c>
      <c r="D6">
        <v>3</v>
      </c>
      <c r="E6">
        <v>7</v>
      </c>
      <c r="F6">
        <v>12</v>
      </c>
      <c r="G6">
        <v>7</v>
      </c>
      <c r="H6">
        <v>12</v>
      </c>
      <c r="I6" t="s">
        <v>23</v>
      </c>
      <c r="K6">
        <f t="shared" si="1"/>
        <v>0</v>
      </c>
      <c r="L6">
        <f t="shared" si="0"/>
        <v>0</v>
      </c>
      <c r="M6">
        <f t="shared" si="0"/>
        <v>0</v>
      </c>
      <c r="N6">
        <f t="shared" si="0"/>
        <v>0</v>
      </c>
      <c r="O6">
        <f t="shared" si="0"/>
        <v>0</v>
      </c>
      <c r="P6">
        <f t="shared" si="0"/>
        <v>0</v>
      </c>
      <c r="Q6">
        <f t="shared" si="0"/>
        <v>0</v>
      </c>
      <c r="R6">
        <f t="shared" si="0"/>
        <v>3</v>
      </c>
      <c r="S6">
        <f t="shared" si="0"/>
        <v>3</v>
      </c>
      <c r="T6">
        <f t="shared" si="0"/>
        <v>3</v>
      </c>
      <c r="U6">
        <f t="shared" si="0"/>
        <v>3</v>
      </c>
      <c r="V6">
        <f t="shared" si="0"/>
        <v>3</v>
      </c>
      <c r="W6">
        <f t="shared" si="0"/>
        <v>0</v>
      </c>
      <c r="X6">
        <f t="shared" si="0"/>
        <v>0</v>
      </c>
    </row>
    <row r="7" spans="1:27">
      <c r="A7" t="s">
        <v>16</v>
      </c>
      <c r="B7" t="s">
        <v>17</v>
      </c>
      <c r="C7">
        <v>2</v>
      </c>
      <c r="D7">
        <v>2</v>
      </c>
      <c r="E7">
        <v>12</v>
      </c>
      <c r="F7">
        <v>14</v>
      </c>
      <c r="G7">
        <v>12</v>
      </c>
      <c r="H7">
        <v>14</v>
      </c>
      <c r="I7" t="s">
        <v>23</v>
      </c>
      <c r="K7">
        <f t="shared" si="1"/>
        <v>0</v>
      </c>
      <c r="L7">
        <f t="shared" si="0"/>
        <v>0</v>
      </c>
      <c r="M7">
        <f t="shared" si="0"/>
        <v>0</v>
      </c>
      <c r="N7">
        <f t="shared" si="0"/>
        <v>0</v>
      </c>
      <c r="O7">
        <f t="shared" si="0"/>
        <v>0</v>
      </c>
      <c r="P7">
        <f t="shared" si="0"/>
        <v>0</v>
      </c>
      <c r="Q7">
        <f t="shared" si="0"/>
        <v>0</v>
      </c>
      <c r="R7">
        <f t="shared" si="0"/>
        <v>0</v>
      </c>
      <c r="S7">
        <f t="shared" si="0"/>
        <v>0</v>
      </c>
      <c r="T7">
        <f t="shared" si="0"/>
        <v>0</v>
      </c>
      <c r="U7">
        <f t="shared" si="0"/>
        <v>0</v>
      </c>
      <c r="V7">
        <f t="shared" si="0"/>
        <v>0</v>
      </c>
      <c r="W7">
        <f t="shared" si="0"/>
        <v>2</v>
      </c>
      <c r="X7">
        <f t="shared" si="0"/>
        <v>2</v>
      </c>
      <c r="Z7" t="s">
        <v>24</v>
      </c>
    </row>
    <row r="8" spans="1:27">
      <c r="J8" t="s">
        <v>25</v>
      </c>
      <c r="K8">
        <f>SUM(K3:K7)</f>
        <v>6</v>
      </c>
      <c r="L8">
        <f t="shared" ref="L8:X8" si="2">SUM(L3:L7)</f>
        <v>6</v>
      </c>
      <c r="M8">
        <f t="shared" si="2"/>
        <v>6</v>
      </c>
      <c r="N8">
        <f t="shared" si="2"/>
        <v>6</v>
      </c>
      <c r="O8">
        <f t="shared" si="2"/>
        <v>6</v>
      </c>
      <c r="P8">
        <f t="shared" si="2"/>
        <v>7</v>
      </c>
      <c r="Q8">
        <f t="shared" si="2"/>
        <v>7</v>
      </c>
      <c r="R8">
        <f t="shared" si="2"/>
        <v>6</v>
      </c>
      <c r="S8">
        <f t="shared" si="2"/>
        <v>3</v>
      </c>
      <c r="T8">
        <f t="shared" si="2"/>
        <v>3</v>
      </c>
      <c r="U8">
        <f t="shared" si="2"/>
        <v>3</v>
      </c>
      <c r="V8">
        <f t="shared" si="2"/>
        <v>3</v>
      </c>
      <c r="W8">
        <f t="shared" si="2"/>
        <v>2</v>
      </c>
      <c r="X8">
        <f t="shared" si="2"/>
        <v>2</v>
      </c>
      <c r="Z8">
        <f>SUM(K8:X8)</f>
        <v>66</v>
      </c>
    </row>
    <row r="9" spans="1:27">
      <c r="A9" s="16" t="s">
        <v>26</v>
      </c>
    </row>
    <row r="10" spans="1:27">
      <c r="A10" t="s">
        <v>1</v>
      </c>
      <c r="B10" t="s">
        <v>2</v>
      </c>
      <c r="C10" t="s">
        <v>3</v>
      </c>
      <c r="D10" t="s">
        <v>4</v>
      </c>
      <c r="E10" t="s">
        <v>5</v>
      </c>
      <c r="F10" t="s">
        <v>6</v>
      </c>
      <c r="G10" t="s">
        <v>7</v>
      </c>
      <c r="H10" t="s">
        <v>8</v>
      </c>
      <c r="I10" t="s">
        <v>9</v>
      </c>
      <c r="K10">
        <v>1</v>
      </c>
      <c r="L10">
        <v>2</v>
      </c>
      <c r="M10">
        <v>3</v>
      </c>
      <c r="N10">
        <v>4</v>
      </c>
      <c r="O10">
        <v>5</v>
      </c>
      <c r="P10">
        <v>6</v>
      </c>
      <c r="Q10">
        <v>7</v>
      </c>
      <c r="R10">
        <v>8</v>
      </c>
      <c r="S10">
        <v>9</v>
      </c>
      <c r="T10">
        <v>10</v>
      </c>
      <c r="U10">
        <v>11</v>
      </c>
      <c r="V10">
        <v>12</v>
      </c>
      <c r="W10">
        <v>13</v>
      </c>
      <c r="X10">
        <v>14</v>
      </c>
      <c r="Y10" t="s">
        <v>25</v>
      </c>
    </row>
    <row r="11" spans="1:27">
      <c r="A11" t="s">
        <v>10</v>
      </c>
      <c r="B11" t="s">
        <v>11</v>
      </c>
      <c r="C11">
        <v>5</v>
      </c>
      <c r="D11">
        <v>2</v>
      </c>
      <c r="E11">
        <v>0</v>
      </c>
      <c r="F11">
        <v>5</v>
      </c>
      <c r="G11">
        <v>2</v>
      </c>
      <c r="H11">
        <v>7</v>
      </c>
      <c r="I11" t="s">
        <v>21</v>
      </c>
      <c r="K11" s="8">
        <f>IF(AND(K$2&gt;$G11,K$2&lt;=$H11),$D11,0)</f>
        <v>0</v>
      </c>
      <c r="L11" s="8">
        <f t="shared" ref="L11:X15" si="3">IF(AND(L$2&gt;$G11,L$2&lt;=$H11),$D11,0)</f>
        <v>0</v>
      </c>
      <c r="M11" s="8">
        <f t="shared" si="3"/>
        <v>2</v>
      </c>
      <c r="N11" s="8">
        <f t="shared" si="3"/>
        <v>2</v>
      </c>
      <c r="O11" s="8">
        <f t="shared" si="3"/>
        <v>2</v>
      </c>
      <c r="P11" s="8">
        <f t="shared" si="3"/>
        <v>2</v>
      </c>
      <c r="Q11" s="8">
        <f t="shared" si="3"/>
        <v>2</v>
      </c>
      <c r="R11">
        <f t="shared" si="3"/>
        <v>0</v>
      </c>
      <c r="S11">
        <f t="shared" si="3"/>
        <v>0</v>
      </c>
      <c r="T11">
        <f t="shared" si="3"/>
        <v>0</v>
      </c>
      <c r="U11">
        <f t="shared" si="3"/>
        <v>0</v>
      </c>
      <c r="V11">
        <f t="shared" si="3"/>
        <v>0</v>
      </c>
      <c r="W11">
        <f t="shared" si="3"/>
        <v>0</v>
      </c>
      <c r="X11">
        <f t="shared" si="3"/>
        <v>0</v>
      </c>
      <c r="Y11">
        <f>SUM(K11:X11)</f>
        <v>10</v>
      </c>
    </row>
    <row r="12" spans="1:27">
      <c r="A12" t="s">
        <v>12</v>
      </c>
      <c r="B12" t="s">
        <v>11</v>
      </c>
      <c r="C12">
        <v>7</v>
      </c>
      <c r="D12">
        <v>4</v>
      </c>
      <c r="E12">
        <v>0</v>
      </c>
      <c r="F12">
        <v>7</v>
      </c>
      <c r="G12">
        <v>0</v>
      </c>
      <c r="H12">
        <v>7</v>
      </c>
      <c r="I12" t="s">
        <v>23</v>
      </c>
      <c r="K12">
        <f t="shared" ref="K12:K15" si="4">IF(AND(K$2&gt;$G12,K$2&lt;=$H12),$D12,0)</f>
        <v>4</v>
      </c>
      <c r="L12">
        <f t="shared" si="3"/>
        <v>4</v>
      </c>
      <c r="M12">
        <f t="shared" si="3"/>
        <v>4</v>
      </c>
      <c r="N12">
        <f t="shared" si="3"/>
        <v>4</v>
      </c>
      <c r="O12">
        <f t="shared" si="3"/>
        <v>4</v>
      </c>
      <c r="P12">
        <f t="shared" si="3"/>
        <v>4</v>
      </c>
      <c r="Q12">
        <f t="shared" si="3"/>
        <v>4</v>
      </c>
      <c r="R12">
        <f t="shared" si="3"/>
        <v>0</v>
      </c>
      <c r="S12">
        <f t="shared" si="3"/>
        <v>0</v>
      </c>
      <c r="T12">
        <f t="shared" si="3"/>
        <v>0</v>
      </c>
      <c r="U12">
        <f t="shared" si="3"/>
        <v>0</v>
      </c>
      <c r="V12">
        <f t="shared" si="3"/>
        <v>0</v>
      </c>
      <c r="W12">
        <f t="shared" si="3"/>
        <v>0</v>
      </c>
      <c r="X12">
        <f t="shared" si="3"/>
        <v>0</v>
      </c>
      <c r="Y12">
        <f t="shared" ref="Y12:Y16" si="5">SUM(K12:X12)</f>
        <v>28</v>
      </c>
    </row>
    <row r="13" spans="1:27">
      <c r="A13" t="s">
        <v>13</v>
      </c>
      <c r="B13" t="s">
        <v>10</v>
      </c>
      <c r="C13">
        <v>3</v>
      </c>
      <c r="D13">
        <v>3</v>
      </c>
      <c r="E13">
        <v>5</v>
      </c>
      <c r="F13">
        <v>8</v>
      </c>
      <c r="G13">
        <v>9</v>
      </c>
      <c r="H13">
        <v>12</v>
      </c>
      <c r="I13" t="s">
        <v>21</v>
      </c>
      <c r="K13">
        <f t="shared" si="4"/>
        <v>0</v>
      </c>
      <c r="L13">
        <f t="shared" si="3"/>
        <v>0</v>
      </c>
      <c r="M13">
        <f t="shared" si="3"/>
        <v>0</v>
      </c>
      <c r="N13">
        <f t="shared" si="3"/>
        <v>0</v>
      </c>
      <c r="O13">
        <f t="shared" si="3"/>
        <v>0</v>
      </c>
      <c r="P13" s="8">
        <f t="shared" si="3"/>
        <v>0</v>
      </c>
      <c r="Q13" s="8">
        <f t="shared" si="3"/>
        <v>0</v>
      </c>
      <c r="R13" s="8">
        <f t="shared" si="3"/>
        <v>0</v>
      </c>
      <c r="S13" s="8">
        <f t="shared" si="3"/>
        <v>0</v>
      </c>
      <c r="T13" s="8">
        <f t="shared" si="3"/>
        <v>3</v>
      </c>
      <c r="U13" s="8">
        <f t="shared" si="3"/>
        <v>3</v>
      </c>
      <c r="V13" s="8">
        <f t="shared" si="3"/>
        <v>3</v>
      </c>
      <c r="W13">
        <f t="shared" si="3"/>
        <v>0</v>
      </c>
      <c r="X13">
        <f t="shared" si="3"/>
        <v>0</v>
      </c>
      <c r="Y13">
        <f t="shared" si="5"/>
        <v>9</v>
      </c>
    </row>
    <row r="14" spans="1:27">
      <c r="A14" t="s">
        <v>14</v>
      </c>
      <c r="B14" t="s">
        <v>15</v>
      </c>
      <c r="C14">
        <v>5</v>
      </c>
      <c r="D14">
        <v>3</v>
      </c>
      <c r="E14">
        <v>7</v>
      </c>
      <c r="F14">
        <v>12</v>
      </c>
      <c r="G14">
        <v>7</v>
      </c>
      <c r="H14">
        <v>12</v>
      </c>
      <c r="I14" t="s">
        <v>23</v>
      </c>
      <c r="K14">
        <f t="shared" si="4"/>
        <v>0</v>
      </c>
      <c r="L14">
        <f t="shared" si="3"/>
        <v>0</v>
      </c>
      <c r="M14">
        <f t="shared" si="3"/>
        <v>0</v>
      </c>
      <c r="N14">
        <f t="shared" si="3"/>
        <v>0</v>
      </c>
      <c r="O14">
        <f t="shared" si="3"/>
        <v>0</v>
      </c>
      <c r="P14">
        <f t="shared" si="3"/>
        <v>0</v>
      </c>
      <c r="Q14">
        <f t="shared" si="3"/>
        <v>0</v>
      </c>
      <c r="R14">
        <f t="shared" si="3"/>
        <v>3</v>
      </c>
      <c r="S14">
        <f t="shared" si="3"/>
        <v>3</v>
      </c>
      <c r="T14">
        <f t="shared" si="3"/>
        <v>3</v>
      </c>
      <c r="U14">
        <f t="shared" si="3"/>
        <v>3</v>
      </c>
      <c r="V14">
        <f t="shared" si="3"/>
        <v>3</v>
      </c>
      <c r="W14">
        <f t="shared" si="3"/>
        <v>0</v>
      </c>
      <c r="X14">
        <f t="shared" si="3"/>
        <v>0</v>
      </c>
      <c r="Y14">
        <f t="shared" si="5"/>
        <v>15</v>
      </c>
    </row>
    <row r="15" spans="1:27">
      <c r="A15" t="s">
        <v>16</v>
      </c>
      <c r="B15" t="s">
        <v>17</v>
      </c>
      <c r="C15">
        <v>2</v>
      </c>
      <c r="D15">
        <v>2</v>
      </c>
      <c r="E15">
        <v>12</v>
      </c>
      <c r="F15">
        <v>14</v>
      </c>
      <c r="G15">
        <v>12</v>
      </c>
      <c r="H15">
        <v>14</v>
      </c>
      <c r="I15" t="s">
        <v>23</v>
      </c>
      <c r="K15">
        <f t="shared" si="4"/>
        <v>0</v>
      </c>
      <c r="L15">
        <f t="shared" si="3"/>
        <v>0</v>
      </c>
      <c r="M15">
        <f t="shared" si="3"/>
        <v>0</v>
      </c>
      <c r="N15">
        <f t="shared" si="3"/>
        <v>0</v>
      </c>
      <c r="O15">
        <f t="shared" si="3"/>
        <v>0</v>
      </c>
      <c r="P15">
        <f t="shared" si="3"/>
        <v>0</v>
      </c>
      <c r="Q15">
        <f t="shared" si="3"/>
        <v>0</v>
      </c>
      <c r="R15">
        <f t="shared" si="3"/>
        <v>0</v>
      </c>
      <c r="S15">
        <f t="shared" si="3"/>
        <v>0</v>
      </c>
      <c r="T15">
        <f t="shared" si="3"/>
        <v>0</v>
      </c>
      <c r="U15">
        <f t="shared" si="3"/>
        <v>0</v>
      </c>
      <c r="V15">
        <f t="shared" si="3"/>
        <v>0</v>
      </c>
      <c r="W15">
        <f t="shared" si="3"/>
        <v>2</v>
      </c>
      <c r="X15">
        <f t="shared" si="3"/>
        <v>2</v>
      </c>
      <c r="Y15">
        <f t="shared" si="5"/>
        <v>4</v>
      </c>
      <c r="Z15" t="s">
        <v>24</v>
      </c>
    </row>
    <row r="16" spans="1:27">
      <c r="J16" t="s">
        <v>25</v>
      </c>
      <c r="K16">
        <f>SUM(K11:K15)</f>
        <v>4</v>
      </c>
      <c r="L16">
        <f t="shared" ref="L16" si="6">SUM(L11:L15)</f>
        <v>4</v>
      </c>
      <c r="M16">
        <f t="shared" ref="M16" si="7">SUM(M11:M15)</f>
        <v>6</v>
      </c>
      <c r="N16">
        <f t="shared" ref="N16" si="8">SUM(N11:N15)</f>
        <v>6</v>
      </c>
      <c r="O16">
        <f t="shared" ref="O16" si="9">SUM(O11:O15)</f>
        <v>6</v>
      </c>
      <c r="P16">
        <f t="shared" ref="P16" si="10">SUM(P11:P15)</f>
        <v>6</v>
      </c>
      <c r="Q16">
        <f t="shared" ref="Q16" si="11">SUM(Q11:Q15)</f>
        <v>6</v>
      </c>
      <c r="R16">
        <f t="shared" ref="R16" si="12">SUM(R11:R15)</f>
        <v>3</v>
      </c>
      <c r="S16">
        <f t="shared" ref="S16" si="13">SUM(S11:S15)</f>
        <v>3</v>
      </c>
      <c r="T16">
        <f t="shared" ref="T16" si="14">SUM(T11:T15)</f>
        <v>6</v>
      </c>
      <c r="U16">
        <f t="shared" ref="U16" si="15">SUM(U11:U15)</f>
        <v>6</v>
      </c>
      <c r="V16">
        <f t="shared" ref="V16" si="16">SUM(V11:V15)</f>
        <v>6</v>
      </c>
      <c r="W16">
        <f t="shared" ref="W16" si="17">SUM(W11:W15)</f>
        <v>2</v>
      </c>
      <c r="X16">
        <f t="shared" ref="X16" si="18">SUM(X11:X15)</f>
        <v>2</v>
      </c>
      <c r="Y16">
        <f t="shared" si="5"/>
        <v>66</v>
      </c>
      <c r="Z16">
        <f>SUM(K16:X16)</f>
        <v>66</v>
      </c>
    </row>
    <row r="18" spans="1:28" ht="30.75">
      <c r="AB18" s="9" t="s">
        <v>27</v>
      </c>
    </row>
    <row r="19" spans="1:28">
      <c r="A19" s="16" t="s">
        <v>28</v>
      </c>
    </row>
    <row r="20" spans="1:28">
      <c r="A20" t="s">
        <v>1</v>
      </c>
      <c r="B20" t="s">
        <v>2</v>
      </c>
      <c r="C20" t="s">
        <v>3</v>
      </c>
      <c r="D20" t="s">
        <v>4</v>
      </c>
      <c r="E20" t="s">
        <v>5</v>
      </c>
      <c r="F20" t="s">
        <v>6</v>
      </c>
      <c r="G20" t="s">
        <v>7</v>
      </c>
      <c r="H20" t="s">
        <v>8</v>
      </c>
      <c r="I20" t="s">
        <v>9</v>
      </c>
      <c r="K20">
        <v>1</v>
      </c>
      <c r="L20">
        <v>2</v>
      </c>
      <c r="M20">
        <v>3</v>
      </c>
      <c r="N20">
        <v>4</v>
      </c>
      <c r="O20">
        <v>5</v>
      </c>
      <c r="P20">
        <v>6</v>
      </c>
      <c r="Q20">
        <v>7</v>
      </c>
      <c r="R20">
        <v>8</v>
      </c>
      <c r="S20">
        <v>9</v>
      </c>
      <c r="T20">
        <v>10</v>
      </c>
      <c r="U20">
        <v>11</v>
      </c>
      <c r="V20">
        <v>12</v>
      </c>
      <c r="W20">
        <v>13</v>
      </c>
      <c r="X20">
        <v>14</v>
      </c>
      <c r="AB20" s="10" t="s">
        <v>29</v>
      </c>
    </row>
    <row r="21" spans="1:28" ht="45.75">
      <c r="A21" t="s">
        <v>10</v>
      </c>
      <c r="B21" t="s">
        <v>11</v>
      </c>
      <c r="C21">
        <v>5</v>
      </c>
      <c r="D21">
        <v>2</v>
      </c>
      <c r="E21">
        <v>0</v>
      </c>
      <c r="F21">
        <v>5</v>
      </c>
      <c r="G21">
        <v>2</v>
      </c>
      <c r="H21">
        <v>7</v>
      </c>
      <c r="I21" s="12" t="s">
        <v>30</v>
      </c>
      <c r="J21" t="s">
        <v>31</v>
      </c>
      <c r="K21">
        <v>0</v>
      </c>
      <c r="L21">
        <v>0</v>
      </c>
      <c r="M21">
        <v>2</v>
      </c>
      <c r="N21">
        <v>2</v>
      </c>
      <c r="O21">
        <v>2</v>
      </c>
      <c r="P21">
        <v>2</v>
      </c>
      <c r="Q21">
        <v>2</v>
      </c>
      <c r="R21">
        <v>0</v>
      </c>
      <c r="S21">
        <v>0</v>
      </c>
      <c r="T21">
        <v>0</v>
      </c>
      <c r="U21">
        <v>0</v>
      </c>
      <c r="V21">
        <v>0</v>
      </c>
      <c r="W21">
        <v>0</v>
      </c>
      <c r="X21">
        <v>0</v>
      </c>
      <c r="Y21">
        <v>10</v>
      </c>
    </row>
    <row r="22" spans="1:28" ht="30" customHeight="1">
      <c r="A22" t="s">
        <v>12</v>
      </c>
      <c r="B22" t="s">
        <v>11</v>
      </c>
      <c r="C22">
        <v>7</v>
      </c>
      <c r="D22">
        <v>4</v>
      </c>
      <c r="E22">
        <v>0</v>
      </c>
      <c r="F22">
        <v>7</v>
      </c>
      <c r="G22">
        <v>0</v>
      </c>
      <c r="H22">
        <v>7</v>
      </c>
      <c r="I22" t="s">
        <v>23</v>
      </c>
      <c r="K22">
        <v>4</v>
      </c>
      <c r="L22">
        <v>4</v>
      </c>
      <c r="M22">
        <v>4</v>
      </c>
      <c r="N22">
        <v>4</v>
      </c>
      <c r="O22">
        <v>4</v>
      </c>
      <c r="P22">
        <v>4</v>
      </c>
      <c r="Q22">
        <v>4</v>
      </c>
      <c r="R22">
        <v>0</v>
      </c>
      <c r="S22">
        <v>0</v>
      </c>
      <c r="T22">
        <v>0</v>
      </c>
      <c r="U22">
        <v>0</v>
      </c>
      <c r="V22">
        <v>0</v>
      </c>
      <c r="W22">
        <v>0</v>
      </c>
      <c r="X22">
        <v>0</v>
      </c>
      <c r="Y22">
        <v>28</v>
      </c>
      <c r="AB22" s="11" t="s">
        <v>32</v>
      </c>
    </row>
    <row r="23" spans="1:28">
      <c r="A23" t="s">
        <v>13</v>
      </c>
      <c r="B23" t="s">
        <v>10</v>
      </c>
      <c r="C23">
        <v>3</v>
      </c>
      <c r="D23">
        <v>3</v>
      </c>
      <c r="E23">
        <v>5</v>
      </c>
      <c r="F23">
        <v>8</v>
      </c>
      <c r="G23">
        <v>9</v>
      </c>
      <c r="H23">
        <v>12</v>
      </c>
      <c r="I23" t="s">
        <v>21</v>
      </c>
      <c r="K23">
        <v>0</v>
      </c>
      <c r="L23">
        <v>0</v>
      </c>
      <c r="M23">
        <v>0</v>
      </c>
      <c r="N23">
        <v>0</v>
      </c>
      <c r="O23">
        <v>0</v>
      </c>
      <c r="P23">
        <v>0</v>
      </c>
      <c r="Q23">
        <v>0</v>
      </c>
      <c r="R23">
        <v>3</v>
      </c>
      <c r="S23">
        <v>3</v>
      </c>
      <c r="T23">
        <v>3</v>
      </c>
      <c r="U23">
        <v>0</v>
      </c>
      <c r="V23">
        <v>0</v>
      </c>
      <c r="W23">
        <v>0</v>
      </c>
      <c r="X23">
        <v>0</v>
      </c>
      <c r="Y23">
        <v>9</v>
      </c>
    </row>
    <row r="24" spans="1:28">
      <c r="A24" t="s">
        <v>14</v>
      </c>
      <c r="B24" t="s">
        <v>15</v>
      </c>
      <c r="C24">
        <v>5</v>
      </c>
      <c r="D24">
        <v>3</v>
      </c>
      <c r="E24">
        <v>7</v>
      </c>
      <c r="F24">
        <v>12</v>
      </c>
      <c r="G24">
        <v>7</v>
      </c>
      <c r="H24">
        <v>12</v>
      </c>
      <c r="I24" t="s">
        <v>23</v>
      </c>
      <c r="K24">
        <v>0</v>
      </c>
      <c r="L24">
        <v>0</v>
      </c>
      <c r="M24">
        <v>0</v>
      </c>
      <c r="N24">
        <v>0</v>
      </c>
      <c r="O24">
        <v>0</v>
      </c>
      <c r="P24">
        <v>0</v>
      </c>
      <c r="Q24">
        <v>0</v>
      </c>
      <c r="R24">
        <v>3</v>
      </c>
      <c r="S24">
        <v>3</v>
      </c>
      <c r="T24">
        <v>3</v>
      </c>
      <c r="U24">
        <v>3</v>
      </c>
      <c r="V24">
        <v>3</v>
      </c>
      <c r="W24">
        <v>0</v>
      </c>
      <c r="X24">
        <v>0</v>
      </c>
      <c r="Y24">
        <v>15</v>
      </c>
    </row>
    <row r="25" spans="1:28">
      <c r="A25" t="s">
        <v>16</v>
      </c>
      <c r="B25" t="s">
        <v>17</v>
      </c>
      <c r="C25">
        <v>2</v>
      </c>
      <c r="D25">
        <v>2</v>
      </c>
      <c r="E25">
        <v>12</v>
      </c>
      <c r="F25">
        <v>14</v>
      </c>
      <c r="G25">
        <v>12</v>
      </c>
      <c r="H25">
        <v>14</v>
      </c>
      <c r="I25" t="s">
        <v>23</v>
      </c>
      <c r="K25">
        <v>0</v>
      </c>
      <c r="L25">
        <v>0</v>
      </c>
      <c r="M25">
        <v>0</v>
      </c>
      <c r="N25">
        <v>0</v>
      </c>
      <c r="O25">
        <v>0</v>
      </c>
      <c r="P25">
        <v>0</v>
      </c>
      <c r="Q25">
        <v>0</v>
      </c>
      <c r="R25">
        <v>0</v>
      </c>
      <c r="S25">
        <v>0</v>
      </c>
      <c r="T25">
        <v>0</v>
      </c>
      <c r="U25">
        <v>0</v>
      </c>
      <c r="V25">
        <v>0</v>
      </c>
      <c r="W25">
        <v>2</v>
      </c>
      <c r="X25">
        <v>2</v>
      </c>
      <c r="Y25">
        <v>4</v>
      </c>
    </row>
    <row r="26" spans="1:28">
      <c r="J26" t="s">
        <v>25</v>
      </c>
      <c r="K26">
        <f>SUM(K21:K25)</f>
        <v>4</v>
      </c>
      <c r="L26">
        <f t="shared" ref="L26:X26" si="19">SUM(L21:L25)</f>
        <v>4</v>
      </c>
      <c r="M26">
        <f t="shared" si="19"/>
        <v>6</v>
      </c>
      <c r="N26">
        <f t="shared" si="19"/>
        <v>6</v>
      </c>
      <c r="O26">
        <f t="shared" si="19"/>
        <v>6</v>
      </c>
      <c r="P26">
        <f t="shared" si="19"/>
        <v>6</v>
      </c>
      <c r="Q26">
        <f t="shared" si="19"/>
        <v>6</v>
      </c>
      <c r="R26">
        <f t="shared" si="19"/>
        <v>6</v>
      </c>
      <c r="S26">
        <f t="shared" si="19"/>
        <v>6</v>
      </c>
      <c r="T26">
        <f t="shared" si="19"/>
        <v>6</v>
      </c>
      <c r="U26">
        <f t="shared" si="19"/>
        <v>3</v>
      </c>
      <c r="V26">
        <f t="shared" si="19"/>
        <v>3</v>
      </c>
      <c r="W26">
        <f t="shared" si="19"/>
        <v>2</v>
      </c>
      <c r="X26">
        <f t="shared" si="19"/>
        <v>2</v>
      </c>
    </row>
  </sheetData>
  <mergeCells count="1">
    <mergeCell ref="K1: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A709-0154-4553-9937-DCA6F3FC0554}">
  <dimension ref="A3:A5"/>
  <sheetViews>
    <sheetView workbookViewId="0">
      <selection activeCell="E5" sqref="E5"/>
    </sheetView>
  </sheetViews>
  <sheetFormatPr defaultRowHeight="15"/>
  <cols>
    <col min="1" max="1" width="36.5703125" bestFit="1" customWidth="1"/>
  </cols>
  <sheetData>
    <row r="3" spans="1:1" ht="60.75">
      <c r="A3" s="9" t="s">
        <v>33</v>
      </c>
    </row>
    <row r="4" spans="1:1" ht="30.75">
      <c r="A4" s="9" t="s">
        <v>34</v>
      </c>
    </row>
    <row r="5" spans="1:1" ht="152.25">
      <c r="A5" s="9"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Chirag Kothari</dc:creator>
  <cp:keywords/>
  <dc:description/>
  <cp:lastModifiedBy/>
  <cp:revision/>
  <dcterms:created xsi:type="dcterms:W3CDTF">2015-06-05T18:17:20Z</dcterms:created>
  <dcterms:modified xsi:type="dcterms:W3CDTF">2025-10-14T15:03:37Z</dcterms:modified>
  <cp:category/>
  <cp:contentStatus/>
</cp:coreProperties>
</file>