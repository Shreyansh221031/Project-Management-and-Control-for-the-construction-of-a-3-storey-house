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04"/>
  <workbookPr/>
  <mc:AlternateContent xmlns:mc="http://schemas.openxmlformats.org/markup-compatibility/2006">
    <mc:Choice Requires="x15">
      <x15ac:absPath xmlns:x15ac="http://schemas.microsoft.com/office/spreadsheetml/2010/11/ac" url="/Users/deepakchaurasia/Downloads/"/>
    </mc:Choice>
  </mc:AlternateContent>
  <xr:revisionPtr revIDLastSave="0" documentId="8_{D22E1E75-7137-4B6D-9951-25D640466D24}" xr6:coauthVersionLast="47" xr6:coauthVersionMax="47" xr10:uidLastSave="{00000000-0000-0000-0000-000000000000}"/>
  <bookViews>
    <workbookView xWindow="0" yWindow="0" windowWidth="33600" windowHeight="21000" firstSheet="1" activeTab="4" xr2:uid="{00000000-000D-0000-FFFF-FFFF00000000}"/>
  </bookViews>
  <sheets>
    <sheet name="Baseline_Schedule" sheetId="1" r:id="rId1"/>
    <sheet name="Delay_Impact_Summary" sheetId="2" r:id="rId2"/>
    <sheet name="Daily_Progress_Report" sheetId="4" r:id="rId3"/>
    <sheet name="Steps" sheetId="3" r:id="rId4"/>
    <sheet name="Grp Members" sheetId="5" r:id="rId5"/>
  </sheets>
  <externalReferences>
    <externalReference r:id="rId6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4" l="1"/>
  <c r="D4" i="4"/>
  <c r="D16" i="4"/>
  <c r="D17" i="4"/>
  <c r="D18" i="4"/>
  <c r="D19" i="4"/>
  <c r="D20" i="4"/>
  <c r="D21" i="4"/>
  <c r="D22" i="4"/>
  <c r="D23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9" i="4"/>
  <c r="C20" i="4"/>
  <c r="C21" i="4"/>
  <c r="C22" i="4"/>
  <c r="C23" i="4"/>
  <c r="C24" i="4"/>
  <c r="C25" i="4"/>
  <c r="F3" i="4" a="1"/>
  <c r="F3" i="4"/>
  <c r="F4" i="4" a="1"/>
  <c r="F4" i="4"/>
  <c r="F5" i="4" a="1"/>
  <c r="F5" i="4"/>
  <c r="F6" i="4" a="1"/>
  <c r="F6" i="4"/>
  <c r="F7" i="4" a="1"/>
  <c r="F7" i="4"/>
  <c r="F8" i="4" a="1"/>
  <c r="F8" i="4"/>
  <c r="F9" i="4" a="1"/>
  <c r="F9" i="4"/>
  <c r="F10" i="4" a="1"/>
  <c r="F10" i="4"/>
  <c r="F11" i="4" a="1"/>
  <c r="F11" i="4"/>
  <c r="F12" i="4" a="1"/>
  <c r="F12" i="4"/>
  <c r="F13" i="4" a="1"/>
  <c r="F13" i="4"/>
  <c r="F14" i="4" a="1"/>
  <c r="F14" i="4"/>
  <c r="F2" i="4" a="1"/>
  <c r="F2" i="4"/>
  <c r="G3" i="4"/>
  <c r="G4" i="4"/>
  <c r="D2" i="4"/>
  <c r="G2" i="4" s="1"/>
  <c r="C2" i="4"/>
  <c r="H2" i="2"/>
  <c r="D2" i="2"/>
  <c r="C2" i="2"/>
  <c r="K2" i="1"/>
  <c r="J3" i="1"/>
  <c r="J4" i="1"/>
  <c r="J5" i="1"/>
  <c r="J6" i="1"/>
  <c r="J7" i="1"/>
  <c r="J8" i="1"/>
  <c r="J9" i="1"/>
  <c r="J10" i="1"/>
  <c r="J11" i="1"/>
  <c r="J12" i="1"/>
  <c r="J13" i="1"/>
  <c r="J2" i="1"/>
  <c r="K3" i="1"/>
  <c r="F2" i="1"/>
  <c r="L2" i="1"/>
  <c r="E2" i="1"/>
  <c r="E3" i="1"/>
  <c r="D3" i="2" l="1"/>
  <c r="H3" i="2"/>
  <c r="F3" i="1"/>
  <c r="G2" i="2"/>
  <c r="E2" i="2"/>
  <c r="E4" i="1"/>
  <c r="L3" i="1"/>
  <c r="D5" i="4" l="1"/>
  <c r="D6" i="4"/>
  <c r="G6" i="4" s="1"/>
  <c r="C3" i="2"/>
  <c r="E3" i="2" s="1"/>
  <c r="G5" i="4"/>
  <c r="F4" i="1"/>
  <c r="D15" i="4" s="1"/>
  <c r="G3" i="2"/>
  <c r="K4" i="1"/>
  <c r="C4" i="2"/>
  <c r="L4" i="1"/>
  <c r="E5" i="1"/>
  <c r="D7" i="4" l="1"/>
  <c r="D8" i="4"/>
  <c r="D9" i="4"/>
  <c r="D10" i="4"/>
  <c r="D11" i="4"/>
  <c r="D12" i="4"/>
  <c r="D13" i="4"/>
  <c r="D14" i="4"/>
  <c r="G14" i="4" s="1"/>
  <c r="G13" i="4"/>
  <c r="G11" i="4"/>
  <c r="G12" i="4"/>
  <c r="G9" i="4"/>
  <c r="G10" i="4"/>
  <c r="G7" i="4"/>
  <c r="G8" i="4"/>
  <c r="D4" i="2"/>
  <c r="H4" i="2"/>
  <c r="F5" i="1"/>
  <c r="G4" i="2"/>
  <c r="E4" i="2"/>
  <c r="K5" i="1"/>
  <c r="C5" i="2"/>
  <c r="L5" i="1"/>
  <c r="D5" i="2" l="1"/>
  <c r="H5" i="2"/>
  <c r="E5" i="2"/>
  <c r="E6" i="1"/>
  <c r="F6" i="1" l="1"/>
  <c r="L6" i="1" s="1"/>
  <c r="G5" i="2"/>
  <c r="K6" i="1"/>
  <c r="C6" i="2"/>
  <c r="E7" i="1"/>
  <c r="D6" i="2" l="1"/>
  <c r="H6" i="2"/>
  <c r="F7" i="1"/>
  <c r="L7" i="1" s="1"/>
  <c r="G6" i="2"/>
  <c r="E6" i="2"/>
  <c r="K7" i="1"/>
  <c r="C7" i="2"/>
  <c r="E8" i="1"/>
  <c r="D7" i="2" l="1"/>
  <c r="H7" i="2"/>
  <c r="F8" i="1"/>
  <c r="L8" i="1" s="1"/>
  <c r="G7" i="2"/>
  <c r="E7" i="2"/>
  <c r="K8" i="1"/>
  <c r="C8" i="2"/>
  <c r="E9" i="1"/>
  <c r="D8" i="2" l="1"/>
  <c r="H8" i="2"/>
  <c r="F9" i="1"/>
  <c r="L9" i="1" s="1"/>
  <c r="G8" i="2"/>
  <c r="E8" i="2"/>
  <c r="K9" i="1"/>
  <c r="C9" i="2"/>
  <c r="E10" i="1"/>
  <c r="D9" i="2" l="1"/>
  <c r="H9" i="2"/>
  <c r="F10" i="1"/>
  <c r="L10" i="1" s="1"/>
  <c r="G9" i="2"/>
  <c r="E9" i="2"/>
  <c r="K10" i="1"/>
  <c r="C10" i="2"/>
  <c r="E11" i="1"/>
  <c r="D10" i="2" l="1"/>
  <c r="H10" i="2"/>
  <c r="F11" i="1"/>
  <c r="L11" i="1" s="1"/>
  <c r="G10" i="2"/>
  <c r="E10" i="2"/>
  <c r="K11" i="1"/>
  <c r="C11" i="2"/>
  <c r="E12" i="1"/>
  <c r="D11" i="2" l="1"/>
  <c r="H11" i="2"/>
  <c r="F12" i="1"/>
  <c r="L12" i="1" s="1"/>
  <c r="G11" i="2"/>
  <c r="E11" i="2"/>
  <c r="K12" i="1"/>
  <c r="C12" i="2"/>
  <c r="E13" i="1"/>
  <c r="D12" i="2" l="1"/>
  <c r="H12" i="2"/>
  <c r="F13" i="1"/>
  <c r="L13" i="1" s="1"/>
  <c r="G12" i="2"/>
  <c r="E12" i="2"/>
  <c r="K13" i="1"/>
  <c r="C13" i="2"/>
  <c r="D13" i="2" l="1"/>
  <c r="H13" i="2"/>
  <c r="E13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<sst xmlns="http://schemas.openxmlformats.org/spreadsheetml/2006/main" count="185" uniqueCount="102">
  <si>
    <t>Act ID</t>
  </si>
  <si>
    <t>Activity Name</t>
  </si>
  <si>
    <t>Duration (days)</t>
  </si>
  <si>
    <t>Predecessor</t>
  </si>
  <si>
    <t>Planned Start</t>
  </si>
  <si>
    <t>Planned Finish</t>
  </si>
  <si>
    <t>Daily Start of an activity and how much its completed at the end of that day(On Each day basis)</t>
  </si>
  <si>
    <t>Actual Finish(On site reality) Can be filled manually after the 100% complete of an activity</t>
  </si>
  <si>
    <t>% Complete(Each day updation)</t>
  </si>
  <si>
    <t xml:space="preserve">Remaining Duration(Counted wrt total %complete of an activity from each day) </t>
  </si>
  <si>
    <t>Revised Finish</t>
  </si>
  <si>
    <t>Status</t>
  </si>
  <si>
    <t>A</t>
  </si>
  <si>
    <t>Mobilization</t>
  </si>
  <si>
    <t>B</t>
  </si>
  <si>
    <t>Site survey &amp; setting out</t>
  </si>
  <si>
    <t>C</t>
  </si>
  <si>
    <t>Excavation</t>
  </si>
  <si>
    <t>D</t>
  </si>
  <si>
    <t>PCC &amp; Subbase</t>
  </si>
  <si>
    <t>E</t>
  </si>
  <si>
    <t>Footing formwork &amp; rebar</t>
  </si>
  <si>
    <t>F</t>
  </si>
  <si>
    <t>Footing concreting</t>
  </si>
  <si>
    <t>G</t>
  </si>
  <si>
    <t>Footing curing &amp; backfill</t>
  </si>
  <si>
    <t>H</t>
  </si>
  <si>
    <t>Columns GF – formwork &amp; rebar</t>
  </si>
  <si>
    <t>I</t>
  </si>
  <si>
    <t>GF slab formwork &amp; reinforcement</t>
  </si>
  <si>
    <t>J</t>
  </si>
  <si>
    <t>GF slab concreting</t>
  </si>
  <si>
    <t>K</t>
  </si>
  <si>
    <t>GF slab curing &amp; masonry start</t>
  </si>
  <si>
    <t>L</t>
  </si>
  <si>
    <t>GF masonry &amp; finishes</t>
  </si>
  <si>
    <t>Column</t>
  </si>
  <si>
    <t>Formula</t>
  </si>
  <si>
    <t>Description</t>
  </si>
  <si>
    <t>=IF(Dx="",DATE(2025,11,10),VLOOKUP(Dx,$A$2:$L$13,6,FALSE)+1)</t>
  </si>
  <si>
    <t>If no predecessor → project start; else start after predecessor’s finish</t>
  </si>
  <si>
    <t>=Ex+Cx</t>
  </si>
  <si>
    <t>Duration added to start</t>
  </si>
  <si>
    <t>Remaining Duration</t>
  </si>
  <si>
    <t>=IF(Ix="",Cx,IF(Ix=100,0,CEILING(Cx*(1-Ix/100))))</t>
  </si>
  <si>
    <t>Auto updates with % complete</t>
  </si>
  <si>
    <t>=IF(Gx&lt;&gt;"",Gx+Jx,Fx)</t>
  </si>
  <si>
    <t>If started, shifts finish date based on remaining duration</t>
  </si>
  <si>
    <t>=IF(Ix=100,"Completed",IF(AND(Gx="",TODAY()&gt;Ex),"Not Started (Delay)",IF(AND(Gx&lt;&gt;"",TODAY()&gt;Fx),"In Progress (Slower)",IF(AND(Gx="",TODAY()&lt;Ex),"Not Planned Yet","On Schedule"))))</t>
  </si>
  <si>
    <t>Auto-evaluates live site condition</t>
  </si>
  <si>
    <t>Considered a simple CPM network just for explanation. Can extrapolate this to a PDM as well.</t>
  </si>
  <si>
    <t>Some Succeding Activities can start even after only some % of previous activity has finished.</t>
  </si>
  <si>
    <t>Delay (days)</t>
  </si>
  <si>
    <t>Successor(s)</t>
  </si>
  <si>
    <t>Successor Planned Start</t>
  </si>
  <si>
    <t>New Start (after update)</t>
  </si>
  <si>
    <t>Date</t>
  </si>
  <si>
    <t>Planned % (Cumulative)</t>
  </si>
  <si>
    <t>Actual % (Cumulative)</t>
  </si>
  <si>
    <t>Daily Progress (%)</t>
  </si>
  <si>
    <t>Variance (%)</t>
  </si>
  <si>
    <t>Similarly, progress of all the activities can be shown like this.</t>
  </si>
  <si>
    <t>Step 1 – Set up your Excel workbook</t>
  </si>
  <si>
    <t>Create three sheets:</t>
  </si>
  <si>
    <r>
      <t>Baseline Schedule</t>
    </r>
    <r>
      <rPr>
        <sz val="11"/>
        <color theme="1"/>
        <rFont val="Aptos Narrow"/>
        <family val="2"/>
        <scheme val="minor"/>
      </rPr>
      <t xml:space="preserve"> – planned start, finish, duration, predecessors, and resources.</t>
    </r>
  </si>
  <si>
    <r>
      <t>Daily Progress Report (DPR)</t>
    </r>
    <r>
      <rPr>
        <sz val="11"/>
        <color theme="1"/>
        <rFont val="Aptos Narrow"/>
        <family val="2"/>
        <scheme val="minor"/>
      </rPr>
      <t xml:space="preserve"> – actual daily site updates.</t>
    </r>
  </si>
  <si>
    <r>
      <t>Delay/Impact Summary</t>
    </r>
    <r>
      <rPr>
        <sz val="11"/>
        <color theme="1"/>
        <rFont val="Aptos Narrow"/>
        <family val="2"/>
        <scheme val="minor"/>
      </rPr>
      <t xml:space="preserve"> – automatic calculation of delays and effects on successors.</t>
    </r>
  </si>
  <si>
    <t>Step 2 – List activities(Randomly taken for ex)</t>
  </si>
  <si>
    <t>Step 3 – Add planned schedule data</t>
  </si>
  <si>
    <t>Formulas:</t>
  </si>
  <si>
    <t>Planned Finish = Planned Start + Duration</t>
  </si>
  <si>
    <t>Step 4 – Create DPR sheet for daily entry</t>
  </si>
  <si>
    <r>
      <t>Planned %</t>
    </r>
    <r>
      <rPr>
        <sz val="11"/>
        <color theme="1"/>
        <rFont val="Aptos Narrow"/>
        <family val="2"/>
        <scheme val="minor"/>
      </rPr>
      <t xml:space="preserve"> = </t>
    </r>
    <r>
      <rPr>
        <sz val="10"/>
        <color theme="1"/>
        <rFont val="Arial Unicode MS"/>
        <family val="2"/>
      </rPr>
      <t>(Days elapsed ÷ Total Duration) × 100</t>
    </r>
  </si>
  <si>
    <r>
      <t>Remaining Duration</t>
    </r>
    <r>
      <rPr>
        <sz val="11"/>
        <color theme="1"/>
        <rFont val="Aptos Narrow"/>
        <family val="2"/>
        <scheme val="minor"/>
      </rPr>
      <t xml:space="preserve"> = </t>
    </r>
    <r>
      <rPr>
        <sz val="10"/>
        <color theme="1"/>
        <rFont val="Arial Unicode MS"/>
        <family val="2"/>
      </rPr>
      <t>=IF(I2="",C2,IF(I2=100,0,CEILING(C2*(1-I2/100),1)))</t>
    </r>
  </si>
  <si>
    <r>
      <rPr>
        <b/>
        <sz val="11"/>
        <color rgb="FF000000"/>
        <rFont val="Aptos Narrow"/>
        <scheme val="minor"/>
      </rPr>
      <t>Revised Finish</t>
    </r>
    <r>
      <rPr>
        <sz val="11"/>
        <color rgb="FF000000"/>
        <rFont val="Aptos Narrow"/>
        <scheme val="minor"/>
      </rPr>
      <t xml:space="preserve"> =(=IF(G2&lt;&gt;"",G2+J2,F2))</t>
    </r>
  </si>
  <si>
    <t>%Complete= On site how much work is completed.</t>
  </si>
  <si>
    <r>
      <t>Delay (days)</t>
    </r>
    <r>
      <rPr>
        <sz val="11"/>
        <color theme="1"/>
        <rFont val="Aptos Narrow"/>
        <family val="2"/>
        <scheme val="minor"/>
      </rPr>
      <t xml:space="preserve"> = </t>
    </r>
    <r>
      <rPr>
        <sz val="10"/>
        <color theme="1"/>
        <rFont val="Arial Unicode MS"/>
        <family val="2"/>
      </rPr>
      <t>=Revised Finish - Planned Finish</t>
    </r>
  </si>
  <si>
    <t>Step 5 – Daily update process</t>
  </si>
  <si>
    <t>Each day on site:</t>
  </si>
  <si>
    <t>Record which activities were worked on.</t>
  </si>
  <si>
    <r>
      <t xml:space="preserve">Enter </t>
    </r>
    <r>
      <rPr>
        <b/>
        <sz val="11"/>
        <color theme="1"/>
        <rFont val="Aptos Narrow"/>
        <family val="2"/>
        <scheme val="minor"/>
      </rPr>
      <t>Actual % Complete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Quantity Done</t>
    </r>
    <r>
      <rPr>
        <sz val="11"/>
        <color theme="1"/>
        <rFont val="Aptos Narrow"/>
        <family val="2"/>
        <scheme val="minor"/>
      </rPr>
      <t xml:space="preserve">, and </t>
    </r>
    <r>
      <rPr>
        <b/>
        <sz val="11"/>
        <color theme="1"/>
        <rFont val="Aptos Narrow"/>
        <family val="2"/>
        <scheme val="minor"/>
      </rPr>
      <t>Remarks</t>
    </r>
    <r>
      <rPr>
        <sz val="11"/>
        <color theme="1"/>
        <rFont val="Aptos Narrow"/>
        <family val="2"/>
        <scheme val="minor"/>
      </rPr>
      <t>.</t>
    </r>
  </si>
  <si>
    <r>
      <t xml:space="preserve">Excel updates </t>
    </r>
    <r>
      <rPr>
        <b/>
        <sz val="11"/>
        <color theme="1"/>
        <rFont val="Aptos Narrow"/>
        <family val="2"/>
        <scheme val="minor"/>
      </rPr>
      <t>Remaining Duration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Revised Finish</t>
    </r>
    <r>
      <rPr>
        <sz val="11"/>
        <color theme="1"/>
        <rFont val="Aptos Narrow"/>
        <family val="2"/>
        <scheme val="minor"/>
      </rPr>
      <t xml:space="preserve">, and </t>
    </r>
    <r>
      <rPr>
        <b/>
        <sz val="11"/>
        <color theme="1"/>
        <rFont val="Aptos Narrow"/>
        <family val="2"/>
        <scheme val="minor"/>
      </rPr>
      <t>Delay</t>
    </r>
    <r>
      <rPr>
        <sz val="11"/>
        <color theme="1"/>
        <rFont val="Aptos Narrow"/>
        <family val="2"/>
        <scheme val="minor"/>
      </rPr>
      <t xml:space="preserve"> automatically.</t>
    </r>
  </si>
  <si>
    <t>Step 6 – Update schedule dynamically</t>
  </si>
  <si>
    <t>If % Complete &lt; Planned %, activity is delayed → successor’s start shifts forward.</t>
  </si>
  <si>
    <t>If % Complete &gt; Planned %, activity is ahead → float increases.</t>
  </si>
  <si>
    <t>Delay Impact Sheet summarizes total project delay = max(Revised Finish – Planned Finish).</t>
  </si>
  <si>
    <t>Step 7 – Generate DPR summary output</t>
  </si>
  <si>
    <r>
      <t xml:space="preserve">Formula for </t>
    </r>
    <r>
      <rPr>
        <b/>
        <sz val="11"/>
        <color theme="1"/>
        <rFont val="Aptos Narrow"/>
        <family val="2"/>
        <scheme val="minor"/>
      </rPr>
      <t>Overall Progress %</t>
    </r>
    <r>
      <rPr>
        <sz val="11"/>
        <color theme="1"/>
        <rFont val="Aptos Narrow"/>
        <family val="2"/>
        <scheme val="minor"/>
      </rPr>
      <t>:</t>
    </r>
  </si>
  <si>
    <t>Progress=(=AVERAGEIFS(%Complete, Activity, "&lt;&gt;"))</t>
  </si>
  <si>
    <t>Step 8 – Use for decision making</t>
  </si>
  <si>
    <r>
      <t xml:space="preserve">Identify </t>
    </r>
    <r>
      <rPr>
        <b/>
        <sz val="11"/>
        <color theme="1"/>
        <rFont val="Aptos Narrow"/>
        <family val="2"/>
        <scheme val="minor"/>
      </rPr>
      <t>critical path</t>
    </r>
    <r>
      <rPr>
        <sz val="11"/>
        <color theme="1"/>
        <rFont val="Aptos Narrow"/>
        <family val="2"/>
        <scheme val="minor"/>
      </rPr>
      <t xml:space="preserve"> and delayed activities.</t>
    </r>
  </si>
  <si>
    <t>Reschedule labour/material supply.</t>
  </si>
  <si>
    <t>Communicate daily to project manager and client.</t>
  </si>
  <si>
    <t>Step 9 – IS Codes Referenced</t>
  </si>
  <si>
    <t>For schedule and manpower estimation:</t>
  </si>
  <si>
    <r>
      <t>IS 7272 (Part 1 &amp; 2): 1974</t>
    </r>
    <r>
      <rPr>
        <sz val="11"/>
        <color theme="1"/>
        <rFont val="Aptos Narrow"/>
        <family val="2"/>
        <scheme val="minor"/>
      </rPr>
      <t xml:space="preserve"> – Recommendations for labour output in building work.</t>
    </r>
  </si>
  <si>
    <r>
      <t>IS 15883 (Part 1 to 5)</t>
    </r>
    <r>
      <rPr>
        <sz val="11"/>
        <color theme="1"/>
        <rFont val="Aptos Narrow"/>
        <family val="2"/>
        <scheme val="minor"/>
      </rPr>
      <t xml:space="preserve"> – Planning and scheduling in construction.</t>
    </r>
  </si>
  <si>
    <r>
      <t>IS 1200 series</t>
    </r>
    <r>
      <rPr>
        <sz val="11"/>
        <color theme="1"/>
        <rFont val="Aptos Narrow"/>
        <family val="2"/>
        <scheme val="minor"/>
      </rPr>
      <t xml:space="preserve"> – Methods of measurement for construction quantities.</t>
    </r>
  </si>
  <si>
    <r>
      <t>IS 14580:1998</t>
    </r>
    <r>
      <rPr>
        <sz val="11"/>
        <color theme="1"/>
        <rFont val="Aptos Narrow"/>
        <family val="2"/>
        <scheme val="minor"/>
      </rPr>
      <t xml:space="preserve"> – Guidelines for preparation of bar charts and network diagrams (PERT/CPM).</t>
    </r>
  </si>
  <si>
    <t>Shreyansh</t>
  </si>
  <si>
    <t>Deepak Chaurasia</t>
  </si>
  <si>
    <t>Rahul Singh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</si>
</sst>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0"/>
      <color theme="1"/>
      <name val="Arial Unicode MS"/>
      <family val="2"/>
    </font>
    <font>
      <sz val="18"/>
      <color theme="1"/>
      <name val="Aptos Narrow"/>
      <scheme val="minor"/>
    </font>
    <font>
      <b/>
      <sz val="11"/>
      <color rgb="FF000000"/>
      <name val="Aptos Narrow"/>
      <scheme val="minor"/>
    </font>
    <font>
      <sz val="11"/>
      <color rgb="FF00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14" fontId="0" fillId="0" borderId="0" xfId="0" quotePrefix="1" applyNumberFormat="1" applyAlignment="1">
      <alignment horizontal="center" wrapText="1"/>
    </xf>
    <xf numFmtId="14" fontId="0" fillId="0" borderId="0" xfId="0" quotePrefix="1" applyNumberForma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quotePrefix="1" applyAlignment="1">
      <alignment horizontal="center"/>
    </xf>
    <xf numFmtId="0" fontId="0" fillId="0" borderId="0" xfId="0" quotePrefix="1" applyAlignment="1">
      <alignment horizontal="center" wrapText="1"/>
    </xf>
    <xf numFmtId="0" fontId="1" fillId="0" borderId="0" xfId="0" applyFont="1"/>
    <xf numFmtId="0" fontId="0" fillId="0" borderId="0" xfId="0" quotePrefix="1"/>
    <xf numFmtId="0" fontId="1" fillId="0" borderId="0" xfId="0" applyFont="1" applyAlignment="1">
      <alignment wrapText="1"/>
    </xf>
    <xf numFmtId="0" fontId="0" fillId="0" borderId="0" xfId="0" quotePrefix="1" applyAlignment="1">
      <alignment wrapText="1"/>
    </xf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2" fillId="2" borderId="0" xfId="0" applyFont="1" applyFill="1"/>
    <xf numFmtId="0" fontId="3" fillId="0" borderId="0" xfId="0" applyFont="1"/>
    <xf numFmtId="0" fontId="4" fillId="2" borderId="0" xfId="0" applyFont="1" applyFill="1"/>
    <xf numFmtId="0" fontId="5" fillId="0" borderId="0" xfId="0" applyFont="1"/>
    <xf numFmtId="14" fontId="0" fillId="0" borderId="0" xfId="0" quotePrefix="1" applyNumberFormat="1"/>
    <xf numFmtId="14" fontId="0" fillId="0" borderId="0" xfId="0" applyNumberFormat="1"/>
    <xf numFmtId="0" fontId="0" fillId="2" borderId="0" xfId="0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aseline_Schedul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line_Schedule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7"/>
  <sheetViews>
    <sheetView workbookViewId="0">
      <selection activeCell="B2" sqref="B2"/>
    </sheetView>
  </sheetViews>
  <sheetFormatPr defaultColWidth="8.85546875" defaultRowHeight="15"/>
  <cols>
    <col min="2" max="2" width="36.42578125" bestFit="1" customWidth="1"/>
    <col min="3" max="3" width="14.42578125" bestFit="1" customWidth="1"/>
    <col min="4" max="4" width="12" bestFit="1" customWidth="1"/>
    <col min="5" max="5" width="36.42578125" bestFit="1" customWidth="1"/>
    <col min="6" max="6" width="21.7109375" customWidth="1"/>
    <col min="7" max="7" width="59" customWidth="1"/>
    <col min="8" max="8" width="46.85546875" customWidth="1"/>
    <col min="9" max="9" width="28.85546875" customWidth="1"/>
    <col min="10" max="10" width="36.42578125" bestFit="1" customWidth="1"/>
    <col min="11" max="11" width="21.140625" bestFit="1" customWidth="1"/>
    <col min="12" max="12" width="36.42578125" bestFit="1" customWidth="1"/>
    <col min="13" max="13" width="25.140625" bestFit="1" customWidth="1"/>
  </cols>
  <sheetData>
    <row r="1" spans="1:13" ht="32.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2" t="s">
        <v>11</v>
      </c>
      <c r="M1" s="1"/>
    </row>
    <row r="2" spans="1:13" ht="15.95">
      <c r="A2" s="3" t="s">
        <v>12</v>
      </c>
      <c r="B2" s="3" t="s">
        <v>13</v>
      </c>
      <c r="C2" s="3">
        <v>3</v>
      </c>
      <c r="D2" s="3"/>
      <c r="E2" s="4">
        <f>DATE(2025,11,10)</f>
        <v>45971</v>
      </c>
      <c r="F2" s="5">
        <f>E2+C2</f>
        <v>45974</v>
      </c>
      <c r="G2" s="6">
        <v>45974</v>
      </c>
      <c r="H2" s="6">
        <v>45974</v>
      </c>
      <c r="I2" s="3">
        <v>100</v>
      </c>
      <c r="J2" s="7">
        <f>IF(I2="",C2,IF(I2=100,0,CEILING(C2*(1-I2/100),1)))</f>
        <v>0</v>
      </c>
      <c r="K2" s="5">
        <f>IF(G2&lt;&gt;"",G2+J2,F2)</f>
        <v>45974</v>
      </c>
      <c r="L2" s="8" t="str">
        <f ca="1">IF(I2=100,"Completed",IF(AND(G2="",TODAY()&gt;E2),"Not Started (Delay)",IF(AND(G2&lt;&gt;"",TODAY()&gt;F2),"In Progress (Slower)",IF(AND(G2="",TODAY()&lt;E2),"Not Planned Yet","On Schedule"))))</f>
        <v>Completed</v>
      </c>
      <c r="M2" s="3"/>
    </row>
    <row r="3" spans="1:13" ht="15.95">
      <c r="A3" s="3" t="s">
        <v>14</v>
      </c>
      <c r="B3" s="3" t="s">
        <v>15</v>
      </c>
      <c r="C3" s="3">
        <v>2</v>
      </c>
      <c r="D3" s="3" t="s">
        <v>12</v>
      </c>
      <c r="E3" s="4">
        <f>IF(D3="","",VLOOKUP(D3,$A$2:$L$13,6,FALSE)+1)</f>
        <v>45975</v>
      </c>
      <c r="F3" s="5">
        <f>E3+C3</f>
        <v>45977</v>
      </c>
      <c r="G3" s="6">
        <v>45977</v>
      </c>
      <c r="H3" s="6"/>
      <c r="I3" s="3">
        <v>90</v>
      </c>
      <c r="J3" s="7">
        <f t="shared" ref="J3:J13" si="0">IF(I3="",C3,IF(I3=100,0,CEILING(C3*(1-I3/100),1)))</f>
        <v>1</v>
      </c>
      <c r="K3" s="5">
        <f>IF(G3&lt;&gt;"",G3+J3,F3)</f>
        <v>45978</v>
      </c>
      <c r="L3" s="8" t="str">
        <f t="shared" ref="L3:L13" ca="1" si="1">IF(I3=100,"Completed",IF(AND(G3="",TODAY()&gt;E3),"Not Started (Delay)",IF(AND(G3&lt;&gt;"",TODAY()&gt;F3),"In Progress (Slower)",IF(AND(G3="",TODAY()&lt;E3),"Not Planned Yet","On Schedule"))))</f>
        <v>On Schedule</v>
      </c>
      <c r="M3" s="3"/>
    </row>
    <row r="4" spans="1:13" ht="15.95">
      <c r="A4" s="3" t="s">
        <v>16</v>
      </c>
      <c r="B4" s="3" t="s">
        <v>17</v>
      </c>
      <c r="C4" s="3">
        <v>7</v>
      </c>
      <c r="D4" s="3" t="s">
        <v>14</v>
      </c>
      <c r="E4" s="4">
        <f t="shared" ref="E4:E13" si="2">IF(D4="","",VLOOKUP(D4,$A$2:$L$13,6,FALSE)+1)</f>
        <v>45978</v>
      </c>
      <c r="F4" s="5">
        <f t="shared" ref="F4:F13" si="3">E4+C4</f>
        <v>45985</v>
      </c>
      <c r="G4" s="6">
        <v>45981</v>
      </c>
      <c r="H4" s="6"/>
      <c r="I4" s="3">
        <v>10</v>
      </c>
      <c r="J4" s="7">
        <f t="shared" si="0"/>
        <v>7</v>
      </c>
      <c r="K4" s="5">
        <f t="shared" ref="K4:K13" si="4">IF(G4&lt;&gt;"",G4+J4,F4)</f>
        <v>45988</v>
      </c>
      <c r="L4" s="8" t="str">
        <f ca="1">IF(I4=100,"Completed",IF(AND(G4="",TODAY()&gt;E4),"Not Started (Delay)",IF(AND(G4&lt;&gt;"",TODAY()&gt;F4),"In Progress (Slower)",IF(AND(G4="",TODAY()&lt;E4),"Not Planned Yet","On Schedule"))))</f>
        <v>On Schedule</v>
      </c>
      <c r="M4" s="3"/>
    </row>
    <row r="5" spans="1:13" ht="15.95">
      <c r="A5" s="3" t="s">
        <v>18</v>
      </c>
      <c r="B5" s="3" t="s">
        <v>19</v>
      </c>
      <c r="C5" s="3">
        <v>3</v>
      </c>
      <c r="D5" s="3" t="s">
        <v>16</v>
      </c>
      <c r="E5" s="4">
        <f t="shared" si="2"/>
        <v>45986</v>
      </c>
      <c r="F5" s="5">
        <f t="shared" si="3"/>
        <v>45989</v>
      </c>
      <c r="G5" s="6">
        <v>45987</v>
      </c>
      <c r="H5" s="6"/>
      <c r="I5" s="3">
        <v>25</v>
      </c>
      <c r="J5" s="7">
        <f t="shared" si="0"/>
        <v>3</v>
      </c>
      <c r="K5" s="5">
        <f t="shared" si="4"/>
        <v>45990</v>
      </c>
      <c r="L5" s="8" t="str">
        <f t="shared" ca="1" si="1"/>
        <v>On Schedule</v>
      </c>
      <c r="M5" s="3"/>
    </row>
    <row r="6" spans="1:13" ht="15.95">
      <c r="A6" s="3" t="s">
        <v>20</v>
      </c>
      <c r="B6" s="3" t="s">
        <v>21</v>
      </c>
      <c r="C6" s="3">
        <v>5</v>
      </c>
      <c r="D6" s="3" t="s">
        <v>18</v>
      </c>
      <c r="E6" s="4">
        <f t="shared" si="2"/>
        <v>45990</v>
      </c>
      <c r="F6" s="5">
        <f t="shared" si="3"/>
        <v>45995</v>
      </c>
      <c r="G6" s="6">
        <v>45991</v>
      </c>
      <c r="H6" s="6"/>
      <c r="I6" s="3">
        <v>20</v>
      </c>
      <c r="J6" s="7">
        <f t="shared" si="0"/>
        <v>4</v>
      </c>
      <c r="K6" s="5">
        <f t="shared" si="4"/>
        <v>45995</v>
      </c>
      <c r="L6" s="8" t="str">
        <f t="shared" ca="1" si="1"/>
        <v>On Schedule</v>
      </c>
      <c r="M6" s="3"/>
    </row>
    <row r="7" spans="1:13" ht="15.95">
      <c r="A7" s="3" t="s">
        <v>22</v>
      </c>
      <c r="B7" s="3" t="s">
        <v>23</v>
      </c>
      <c r="C7" s="3">
        <v>2</v>
      </c>
      <c r="D7" s="3" t="s">
        <v>20</v>
      </c>
      <c r="E7" s="4">
        <f t="shared" si="2"/>
        <v>45996</v>
      </c>
      <c r="F7" s="5">
        <f t="shared" si="3"/>
        <v>45998</v>
      </c>
      <c r="G7" s="6">
        <v>45997</v>
      </c>
      <c r="H7" s="6"/>
      <c r="I7" s="3">
        <v>50</v>
      </c>
      <c r="J7" s="7">
        <f t="shared" si="0"/>
        <v>1</v>
      </c>
      <c r="K7" s="5">
        <f t="shared" si="4"/>
        <v>45998</v>
      </c>
      <c r="L7" s="8" t="str">
        <f t="shared" ca="1" si="1"/>
        <v>On Schedule</v>
      </c>
      <c r="M7" s="3"/>
    </row>
    <row r="8" spans="1:13" ht="15.95">
      <c r="A8" s="3" t="s">
        <v>24</v>
      </c>
      <c r="B8" s="3" t="s">
        <v>25</v>
      </c>
      <c r="C8" s="3">
        <v>7</v>
      </c>
      <c r="D8" s="3" t="s">
        <v>22</v>
      </c>
      <c r="E8" s="4">
        <f t="shared" si="2"/>
        <v>45999</v>
      </c>
      <c r="F8" s="5">
        <f t="shared" si="3"/>
        <v>46006</v>
      </c>
      <c r="G8" s="6">
        <v>46001</v>
      </c>
      <c r="H8" s="6"/>
      <c r="I8" s="3">
        <v>24</v>
      </c>
      <c r="J8" s="7">
        <f t="shared" si="0"/>
        <v>6</v>
      </c>
      <c r="K8" s="5">
        <f t="shared" si="4"/>
        <v>46007</v>
      </c>
      <c r="L8" s="8" t="str">
        <f t="shared" ca="1" si="1"/>
        <v>On Schedule</v>
      </c>
      <c r="M8" s="3"/>
    </row>
    <row r="9" spans="1:13" ht="15.95">
      <c r="A9" s="3" t="s">
        <v>26</v>
      </c>
      <c r="B9" s="3" t="s">
        <v>27</v>
      </c>
      <c r="C9" s="3">
        <v>6</v>
      </c>
      <c r="D9" s="3" t="s">
        <v>24</v>
      </c>
      <c r="E9" s="4">
        <f t="shared" si="2"/>
        <v>46007</v>
      </c>
      <c r="F9" s="5">
        <f t="shared" si="3"/>
        <v>46013</v>
      </c>
      <c r="G9" s="6">
        <v>46009</v>
      </c>
      <c r="H9" s="6"/>
      <c r="I9" s="3">
        <v>34</v>
      </c>
      <c r="J9" s="7">
        <f t="shared" si="0"/>
        <v>4</v>
      </c>
      <c r="K9" s="5">
        <f t="shared" si="4"/>
        <v>46013</v>
      </c>
      <c r="L9" s="8" t="str">
        <f t="shared" ca="1" si="1"/>
        <v>On Schedule</v>
      </c>
      <c r="M9" s="3"/>
    </row>
    <row r="10" spans="1:13" ht="15.95">
      <c r="A10" s="3" t="s">
        <v>28</v>
      </c>
      <c r="B10" s="3" t="s">
        <v>29</v>
      </c>
      <c r="C10" s="3">
        <v>8</v>
      </c>
      <c r="D10" s="3" t="s">
        <v>26</v>
      </c>
      <c r="E10" s="4">
        <f t="shared" si="2"/>
        <v>46014</v>
      </c>
      <c r="F10" s="5">
        <f t="shared" si="3"/>
        <v>46022</v>
      </c>
      <c r="G10" s="6">
        <v>46016</v>
      </c>
      <c r="H10" s="6"/>
      <c r="I10" s="3">
        <v>30</v>
      </c>
      <c r="J10" s="7">
        <f t="shared" si="0"/>
        <v>6</v>
      </c>
      <c r="K10" s="5">
        <f t="shared" si="4"/>
        <v>46022</v>
      </c>
      <c r="L10" s="8" t="str">
        <f t="shared" ca="1" si="1"/>
        <v>On Schedule</v>
      </c>
      <c r="M10" s="3"/>
    </row>
    <row r="11" spans="1:13" ht="15.95">
      <c r="A11" s="3" t="s">
        <v>30</v>
      </c>
      <c r="B11" s="3" t="s">
        <v>31</v>
      </c>
      <c r="C11" s="3">
        <v>2</v>
      </c>
      <c r="D11" s="3" t="s">
        <v>28</v>
      </c>
      <c r="E11" s="4">
        <f t="shared" si="2"/>
        <v>46023</v>
      </c>
      <c r="F11" s="5">
        <f t="shared" si="3"/>
        <v>46025</v>
      </c>
      <c r="G11" s="6">
        <v>46023</v>
      </c>
      <c r="H11" s="6"/>
      <c r="I11" s="3">
        <v>10</v>
      </c>
      <c r="J11" s="7">
        <f t="shared" si="0"/>
        <v>2</v>
      </c>
      <c r="K11" s="5">
        <f t="shared" si="4"/>
        <v>46025</v>
      </c>
      <c r="L11" s="8" t="str">
        <f t="shared" ca="1" si="1"/>
        <v>On Schedule</v>
      </c>
      <c r="M11" s="3"/>
    </row>
    <row r="12" spans="1:13" ht="15.95">
      <c r="A12" s="3" t="s">
        <v>32</v>
      </c>
      <c r="B12" s="3" t="s">
        <v>33</v>
      </c>
      <c r="C12" s="3">
        <v>10</v>
      </c>
      <c r="D12" s="3" t="s">
        <v>30</v>
      </c>
      <c r="E12" s="4">
        <f t="shared" si="2"/>
        <v>46026</v>
      </c>
      <c r="F12" s="5">
        <f t="shared" si="3"/>
        <v>46036</v>
      </c>
      <c r="G12" s="6">
        <v>46030</v>
      </c>
      <c r="H12" s="6"/>
      <c r="I12" s="3">
        <v>25</v>
      </c>
      <c r="J12" s="7">
        <f t="shared" si="0"/>
        <v>8</v>
      </c>
      <c r="K12" s="5">
        <f t="shared" si="4"/>
        <v>46038</v>
      </c>
      <c r="L12" s="8" t="str">
        <f t="shared" ca="1" si="1"/>
        <v>On Schedule</v>
      </c>
      <c r="M12" s="3"/>
    </row>
    <row r="13" spans="1:13" ht="15.95">
      <c r="A13" s="3" t="s">
        <v>34</v>
      </c>
      <c r="B13" s="3" t="s">
        <v>35</v>
      </c>
      <c r="C13" s="3">
        <v>15</v>
      </c>
      <c r="D13" s="3" t="s">
        <v>32</v>
      </c>
      <c r="E13" s="4">
        <f t="shared" si="2"/>
        <v>46037</v>
      </c>
      <c r="F13" s="5">
        <f t="shared" si="3"/>
        <v>46052</v>
      </c>
      <c r="G13" s="6">
        <v>46044</v>
      </c>
      <c r="H13" s="6"/>
      <c r="I13" s="3">
        <v>65</v>
      </c>
      <c r="J13" s="7">
        <f t="shared" si="0"/>
        <v>6</v>
      </c>
      <c r="K13" s="5">
        <f t="shared" si="4"/>
        <v>46050</v>
      </c>
      <c r="L13" s="8" t="str">
        <f t="shared" ca="1" si="1"/>
        <v>On Schedule</v>
      </c>
      <c r="M13" s="3"/>
    </row>
    <row r="18" spans="2:8" ht="15.95">
      <c r="F18" s="9" t="s">
        <v>36</v>
      </c>
      <c r="G18" s="11" t="s">
        <v>37</v>
      </c>
      <c r="H18" s="11" t="s">
        <v>38</v>
      </c>
    </row>
    <row r="19" spans="2:8" ht="32.1">
      <c r="F19" s="9" t="s">
        <v>4</v>
      </c>
      <c r="G19" s="12" t="s">
        <v>39</v>
      </c>
      <c r="H19" s="13" t="s">
        <v>40</v>
      </c>
    </row>
    <row r="20" spans="2:8" ht="15.95">
      <c r="F20" s="9" t="s">
        <v>5</v>
      </c>
      <c r="G20" s="12" t="s">
        <v>41</v>
      </c>
      <c r="H20" s="13" t="s">
        <v>42</v>
      </c>
    </row>
    <row r="21" spans="2:8" ht="15.95">
      <c r="F21" s="9" t="s">
        <v>43</v>
      </c>
      <c r="G21" s="12" t="s">
        <v>44</v>
      </c>
      <c r="H21" s="13" t="s">
        <v>45</v>
      </c>
    </row>
    <row r="22" spans="2:8" ht="15.95">
      <c r="F22" s="9" t="s">
        <v>10</v>
      </c>
      <c r="G22" s="12" t="s">
        <v>46</v>
      </c>
      <c r="H22" s="13" t="s">
        <v>47</v>
      </c>
    </row>
    <row r="23" spans="2:8" ht="48">
      <c r="F23" s="9" t="s">
        <v>11</v>
      </c>
      <c r="G23" s="12" t="s">
        <v>48</v>
      </c>
      <c r="H23" s="13" t="s">
        <v>49</v>
      </c>
    </row>
    <row r="27" spans="2:8" ht="48">
      <c r="B27" s="15" t="s">
        <v>50</v>
      </c>
      <c r="G27" s="14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B5079-1AEA-4FDB-B3E4-2055EDB588D2}">
  <dimension ref="A1:H27"/>
  <sheetViews>
    <sheetView workbookViewId="0">
      <selection activeCell="C2" sqref="C2"/>
    </sheetView>
  </sheetViews>
  <sheetFormatPr defaultColWidth="8.85546875" defaultRowHeight="15"/>
  <cols>
    <col min="2" max="2" width="33.7109375" customWidth="1"/>
    <col min="3" max="3" width="21" bestFit="1" customWidth="1"/>
    <col min="4" max="4" width="21.140625" bestFit="1" customWidth="1"/>
    <col min="5" max="5" width="11.7109375" bestFit="1" customWidth="1"/>
    <col min="6" max="6" width="12.42578125" bestFit="1" customWidth="1"/>
    <col min="7" max="7" width="22.42578125" bestFit="1" customWidth="1"/>
    <col min="8" max="8" width="23.28515625" bestFit="1" customWidth="1"/>
  </cols>
  <sheetData>
    <row r="1" spans="1:8">
      <c r="A1" s="1" t="s">
        <v>0</v>
      </c>
      <c r="B1" s="1" t="s">
        <v>1</v>
      </c>
      <c r="C1" s="9" t="s">
        <v>5</v>
      </c>
      <c r="D1" s="9" t="s">
        <v>10</v>
      </c>
      <c r="E1" s="9" t="s">
        <v>52</v>
      </c>
      <c r="F1" s="9" t="s">
        <v>53</v>
      </c>
      <c r="G1" s="9" t="s">
        <v>54</v>
      </c>
      <c r="H1" s="9" t="s">
        <v>55</v>
      </c>
    </row>
    <row r="2" spans="1:8">
      <c r="A2" s="3" t="s">
        <v>12</v>
      </c>
      <c r="B2" s="3" t="s">
        <v>13</v>
      </c>
      <c r="C2" s="20">
        <f>Baseline_Schedule!F2</f>
        <v>45974</v>
      </c>
      <c r="D2" s="20">
        <f>Baseline_Schedule!K2</f>
        <v>45974</v>
      </c>
      <c r="E2" s="10">
        <f>D2-C2</f>
        <v>0</v>
      </c>
      <c r="F2" t="s">
        <v>14</v>
      </c>
      <c r="G2" s="20">
        <f>Baseline_Schedule!E3</f>
        <v>45975</v>
      </c>
      <c r="H2" s="20">
        <f>Baseline_Schedule!K2+1</f>
        <v>45975</v>
      </c>
    </row>
    <row r="3" spans="1:8">
      <c r="A3" s="3" t="s">
        <v>14</v>
      </c>
      <c r="B3" s="3" t="s">
        <v>15</v>
      </c>
      <c r="C3" s="20">
        <f>Baseline_Schedule!F3</f>
        <v>45977</v>
      </c>
      <c r="D3" s="20">
        <f>Baseline_Schedule!K3</f>
        <v>45978</v>
      </c>
      <c r="E3" s="10">
        <f t="shared" ref="E3:E13" si="0">D3-C3</f>
        <v>1</v>
      </c>
      <c r="F3" t="s">
        <v>16</v>
      </c>
      <c r="G3" s="20">
        <f>Baseline_Schedule!E4</f>
        <v>45978</v>
      </c>
      <c r="H3" s="20">
        <f>Baseline_Schedule!K3+1</f>
        <v>45979</v>
      </c>
    </row>
    <row r="4" spans="1:8">
      <c r="A4" s="3" t="s">
        <v>16</v>
      </c>
      <c r="B4" s="3" t="s">
        <v>17</v>
      </c>
      <c r="C4" s="20">
        <f>Baseline_Schedule!F4</f>
        <v>45985</v>
      </c>
      <c r="D4" s="20">
        <f>Baseline_Schedule!K4</f>
        <v>45988</v>
      </c>
      <c r="E4" s="10">
        <f t="shared" si="0"/>
        <v>3</v>
      </c>
      <c r="F4" t="s">
        <v>18</v>
      </c>
      <c r="G4" s="20">
        <f>Baseline_Schedule!E5</f>
        <v>45986</v>
      </c>
      <c r="H4" s="20">
        <f>Baseline_Schedule!K4+1</f>
        <v>45989</v>
      </c>
    </row>
    <row r="5" spans="1:8">
      <c r="A5" s="3" t="s">
        <v>18</v>
      </c>
      <c r="B5" s="3" t="s">
        <v>19</v>
      </c>
      <c r="C5" s="20">
        <f>Baseline_Schedule!F5</f>
        <v>45989</v>
      </c>
      <c r="D5" s="20">
        <f>Baseline_Schedule!K5</f>
        <v>45990</v>
      </c>
      <c r="E5" s="10">
        <f t="shared" si="0"/>
        <v>1</v>
      </c>
      <c r="F5" t="s">
        <v>20</v>
      </c>
      <c r="G5" s="20">
        <f>Baseline_Schedule!E6</f>
        <v>45990</v>
      </c>
      <c r="H5" s="20">
        <f>Baseline_Schedule!K5+1</f>
        <v>45991</v>
      </c>
    </row>
    <row r="6" spans="1:8">
      <c r="A6" s="3" t="s">
        <v>20</v>
      </c>
      <c r="B6" s="3" t="s">
        <v>21</v>
      </c>
      <c r="C6" s="20">
        <f>Baseline_Schedule!F6</f>
        <v>45995</v>
      </c>
      <c r="D6" s="20">
        <f>Baseline_Schedule!K6</f>
        <v>45995</v>
      </c>
      <c r="E6" s="10">
        <f t="shared" si="0"/>
        <v>0</v>
      </c>
      <c r="F6" t="s">
        <v>22</v>
      </c>
      <c r="G6" s="20">
        <f>Baseline_Schedule!E7</f>
        <v>45996</v>
      </c>
      <c r="H6" s="20">
        <f>Baseline_Schedule!K6+1</f>
        <v>45996</v>
      </c>
    </row>
    <row r="7" spans="1:8">
      <c r="A7" s="3" t="s">
        <v>22</v>
      </c>
      <c r="B7" s="3" t="s">
        <v>23</v>
      </c>
      <c r="C7" s="20">
        <f>Baseline_Schedule!F7</f>
        <v>45998</v>
      </c>
      <c r="D7" s="20">
        <f>Baseline_Schedule!K7</f>
        <v>45998</v>
      </c>
      <c r="E7" s="10">
        <f t="shared" si="0"/>
        <v>0</v>
      </c>
      <c r="F7" t="s">
        <v>24</v>
      </c>
      <c r="G7" s="20">
        <f>Baseline_Schedule!E8</f>
        <v>45999</v>
      </c>
      <c r="H7" s="20">
        <f>Baseline_Schedule!K7+1</f>
        <v>45999</v>
      </c>
    </row>
    <row r="8" spans="1:8">
      <c r="A8" s="3" t="s">
        <v>24</v>
      </c>
      <c r="B8" s="3" t="s">
        <v>25</v>
      </c>
      <c r="C8" s="20">
        <f>Baseline_Schedule!F8</f>
        <v>46006</v>
      </c>
      <c r="D8" s="20">
        <f>Baseline_Schedule!K8</f>
        <v>46007</v>
      </c>
      <c r="E8" s="10">
        <f t="shared" si="0"/>
        <v>1</v>
      </c>
      <c r="F8" t="s">
        <v>26</v>
      </c>
      <c r="G8" s="20">
        <f>Baseline_Schedule!E9</f>
        <v>46007</v>
      </c>
      <c r="H8" s="20">
        <f>Baseline_Schedule!K8+1</f>
        <v>46008</v>
      </c>
    </row>
    <row r="9" spans="1:8">
      <c r="A9" s="3" t="s">
        <v>26</v>
      </c>
      <c r="B9" s="3" t="s">
        <v>27</v>
      </c>
      <c r="C9" s="20">
        <f>Baseline_Schedule!F9</f>
        <v>46013</v>
      </c>
      <c r="D9" s="20">
        <f>Baseline_Schedule!K9</f>
        <v>46013</v>
      </c>
      <c r="E9" s="10">
        <f t="shared" si="0"/>
        <v>0</v>
      </c>
      <c r="F9" t="s">
        <v>28</v>
      </c>
      <c r="G9" s="20">
        <f>Baseline_Schedule!E10</f>
        <v>46014</v>
      </c>
      <c r="H9" s="20">
        <f>Baseline_Schedule!K9+1</f>
        <v>46014</v>
      </c>
    </row>
    <row r="10" spans="1:8">
      <c r="A10" s="3" t="s">
        <v>28</v>
      </c>
      <c r="B10" s="3" t="s">
        <v>29</v>
      </c>
      <c r="C10" s="20">
        <f>Baseline_Schedule!F10</f>
        <v>46022</v>
      </c>
      <c r="D10" s="20">
        <f>Baseline_Schedule!K10</f>
        <v>46022</v>
      </c>
      <c r="E10" s="10">
        <f t="shared" si="0"/>
        <v>0</v>
      </c>
      <c r="F10" t="s">
        <v>30</v>
      </c>
      <c r="G10" s="20">
        <f>Baseline_Schedule!E11</f>
        <v>46023</v>
      </c>
      <c r="H10" s="20">
        <f>Baseline_Schedule!K10+1</f>
        <v>46023</v>
      </c>
    </row>
    <row r="11" spans="1:8">
      <c r="A11" s="3" t="s">
        <v>30</v>
      </c>
      <c r="B11" s="3" t="s">
        <v>31</v>
      </c>
      <c r="C11" s="20">
        <f>Baseline_Schedule!F11</f>
        <v>46025</v>
      </c>
      <c r="D11" s="20">
        <f>Baseline_Schedule!K11</f>
        <v>46025</v>
      </c>
      <c r="E11" s="10">
        <f t="shared" si="0"/>
        <v>0</v>
      </c>
      <c r="F11" t="s">
        <v>32</v>
      </c>
      <c r="G11" s="20">
        <f>Baseline_Schedule!E12</f>
        <v>46026</v>
      </c>
      <c r="H11" s="20">
        <f>Baseline_Schedule!K11+1</f>
        <v>46026</v>
      </c>
    </row>
    <row r="12" spans="1:8">
      <c r="A12" s="3" t="s">
        <v>32</v>
      </c>
      <c r="B12" s="3" t="s">
        <v>33</v>
      </c>
      <c r="C12" s="20">
        <f>Baseline_Schedule!F12</f>
        <v>46036</v>
      </c>
      <c r="D12" s="20">
        <f>Baseline_Schedule!K12</f>
        <v>46038</v>
      </c>
      <c r="E12" s="10">
        <f t="shared" si="0"/>
        <v>2</v>
      </c>
      <c r="F12" t="s">
        <v>34</v>
      </c>
      <c r="G12" s="20">
        <f>Baseline_Schedule!E13</f>
        <v>46037</v>
      </c>
      <c r="H12" s="20">
        <f>Baseline_Schedule!K12+1</f>
        <v>46039</v>
      </c>
    </row>
    <row r="13" spans="1:8">
      <c r="A13" s="3" t="s">
        <v>34</v>
      </c>
      <c r="B13" s="3" t="s">
        <v>35</v>
      </c>
      <c r="C13" s="20">
        <f>Baseline_Schedule!F13</f>
        <v>46052</v>
      </c>
      <c r="D13" s="20">
        <f>Baseline_Schedule!K13</f>
        <v>46050</v>
      </c>
      <c r="E13" s="10">
        <f t="shared" si="0"/>
        <v>-2</v>
      </c>
      <c r="G13" s="20"/>
      <c r="H13" s="20">
        <f>Baseline_Schedule!K13+1</f>
        <v>46051</v>
      </c>
    </row>
    <row r="27" spans="2:2" ht="72.75">
      <c r="B27" s="15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ABEDB-E4BD-4629-B59C-AEE43B27CD90}">
  <dimension ref="A1:G25"/>
  <sheetViews>
    <sheetView topLeftCell="A13" workbookViewId="0">
      <selection activeCell="C18" sqref="C18"/>
    </sheetView>
  </sheetViews>
  <sheetFormatPr defaultRowHeight="15"/>
  <cols>
    <col min="1" max="1" width="10.85546875" style="21" bestFit="1" customWidth="1"/>
    <col min="3" max="3" width="25.85546875" customWidth="1"/>
    <col min="4" max="4" width="22.5703125" customWidth="1"/>
    <col min="5" max="5" width="19.85546875" bestFit="1" customWidth="1"/>
    <col min="6" max="6" width="16.28515625" bestFit="1" customWidth="1"/>
    <col min="7" max="7" width="11.7109375" bestFit="1" customWidth="1"/>
  </cols>
  <sheetData>
    <row r="1" spans="1:7">
      <c r="A1" s="6" t="s">
        <v>56</v>
      </c>
      <c r="B1" s="3" t="s">
        <v>0</v>
      </c>
      <c r="C1" s="3" t="s">
        <v>1</v>
      </c>
      <c r="D1" s="3" t="s">
        <v>57</v>
      </c>
      <c r="E1" s="3" t="s">
        <v>58</v>
      </c>
      <c r="F1" s="3" t="s">
        <v>59</v>
      </c>
      <c r="G1" s="3" t="s">
        <v>60</v>
      </c>
    </row>
    <row r="2" spans="1:7">
      <c r="A2" s="6">
        <v>45971</v>
      </c>
      <c r="B2" s="3" t="s">
        <v>12</v>
      </c>
      <c r="C2" s="3" t="str">
        <f>IFERROR(VLOOKUP(B2, Baseline_Schedule!A:B, 2, FALSE),"")</f>
        <v>Mobilization</v>
      </c>
      <c r="D2" s="3">
        <f>IFERROR(IF(AND(A2&gt;=VLOOKUP(B2,Baseline_Schedule!A:F,5,FALSE),A2&lt;=VLOOKUP(B2,Baseline_Schedule!A:F,6,FALSE)),ROUND((A2-VLOOKUP(B2,Baseline_Schedule!A:F,5,FALSE)+1)/VLOOKUP(B2,Baseline_Schedule!A:C,3,FALSE)*100,0),IF(A2&lt;VLOOKUP(B2,Baseline_Schedule!A:F,5,FALSE),0,100)),"")</f>
        <v>33</v>
      </c>
      <c r="E2" s="3">
        <v>30</v>
      </c>
      <c r="F2" s="3" cm="1">
        <f t="array" ref="F2">IF(E2="","", E2 - IFERROR( LOOKUP(2, 1/($B$1:B1=$B2), $E$1:E1 ), 0 ) )</f>
        <v>30</v>
      </c>
      <c r="G2" s="3">
        <f>IF(AND(D2&lt;&gt;"",E2&lt;&gt;""),E2-D2,"")</f>
        <v>-3</v>
      </c>
    </row>
    <row r="3" spans="1:7">
      <c r="A3" s="6">
        <v>45972</v>
      </c>
      <c r="B3" s="3" t="s">
        <v>12</v>
      </c>
      <c r="C3" s="3" t="str">
        <f>IFERROR(VLOOKUP(B3, Baseline_Schedule!A:B, 2, FALSE),"")</f>
        <v>Mobilization</v>
      </c>
      <c r="D3" s="3">
        <f>IFERROR(IF(AND(A3&gt;=VLOOKUP(B3,Baseline_Schedule!A:F,5,FALSE),A3&lt;=VLOOKUP(B3,Baseline_Schedule!A:F,6,FALSE)),ROUND((A3-VLOOKUP(B3,Baseline_Schedule!A:F,5,FALSE)+1)/VLOOKUP(B3,Baseline_Schedule!A:C,3,FALSE)*100,0),IF(A3&lt;VLOOKUP(B3,Baseline_Schedule!A:F,5,FALSE),0,100)),"")</f>
        <v>67</v>
      </c>
      <c r="E3" s="3">
        <v>70</v>
      </c>
      <c r="F3" s="3" cm="1">
        <f t="array" ref="F3">IF(E3="","", E3 - IFERROR( LOOKUP(2, 1/($B$1:B2=$B3), $E$1:E2 ), 0 ) )</f>
        <v>40</v>
      </c>
      <c r="G3" s="3">
        <f t="shared" ref="G3:G14" si="0">IF(AND(D3&lt;&gt;"",E3&lt;&gt;""),E3-D3,"")</f>
        <v>3</v>
      </c>
    </row>
    <row r="4" spans="1:7">
      <c r="A4" s="6">
        <v>45973</v>
      </c>
      <c r="B4" s="3" t="s">
        <v>12</v>
      </c>
      <c r="C4" s="3" t="str">
        <f>IFERROR(VLOOKUP(B4, Baseline_Schedule!A:B, 2, FALSE),"")</f>
        <v>Mobilization</v>
      </c>
      <c r="D4" s="3">
        <f>IFERROR(IF(AND(A4&gt;=VLOOKUP(B4,Baseline_Schedule!A:F,5,FALSE),A4&lt;=VLOOKUP(B4,Baseline_Schedule!A:F,6,FALSE)),ROUND((A4-VLOOKUP(B4,Baseline_Schedule!A:F,5,FALSE)+1)/VLOOKUP(B4,Baseline_Schedule!A:C,3,FALSE)*100,0),IF(A4&lt;VLOOKUP(B4,Baseline_Schedule!A:F,5,FALSE),0,100)),"")</f>
        <v>100</v>
      </c>
      <c r="E4" s="3">
        <v>100</v>
      </c>
      <c r="F4" s="3" cm="1">
        <f t="array" ref="F4">IF(E4="","", E4 - IFERROR( LOOKUP(2, 1/($B$1:B3=$B4), $E$1:E3 ), 0 ) )</f>
        <v>30</v>
      </c>
      <c r="G4" s="3">
        <f t="shared" si="0"/>
        <v>0</v>
      </c>
    </row>
    <row r="5" spans="1:7">
      <c r="A5" s="6">
        <v>45975</v>
      </c>
      <c r="B5" s="3" t="s">
        <v>14</v>
      </c>
      <c r="C5" s="3" t="str">
        <f>IFERROR(VLOOKUP(B5, Baseline_Schedule!A:B, 2, FALSE),"")</f>
        <v>Site survey &amp; setting out</v>
      </c>
      <c r="D5" s="3">
        <f>IFERROR(IF(AND(A5&gt;=VLOOKUP(B5,Baseline_Schedule!A:F,5,FALSE),A5&lt;=VLOOKUP(B5,Baseline_Schedule!A:F,6,FALSE)),ROUND((A5-VLOOKUP(B5,Baseline_Schedule!A:F,5,FALSE)+1)/VLOOKUP(B5,Baseline_Schedule!A:C,3,FALSE)*100,0),IF(A5&lt;VLOOKUP(B5,Baseline_Schedule!A:F,5,FALSE),0,100)),"")</f>
        <v>50</v>
      </c>
      <c r="E5" s="3">
        <v>50</v>
      </c>
      <c r="F5" s="3" cm="1">
        <f t="array" ref="F5">IF(E5="","", E5 - IFERROR( LOOKUP(2, 1/($B$1:B4=$B5), $E$1:E4 ), 0 ) )</f>
        <v>50</v>
      </c>
      <c r="G5" s="3">
        <f t="shared" si="0"/>
        <v>0</v>
      </c>
    </row>
    <row r="6" spans="1:7">
      <c r="A6" s="6">
        <v>45976</v>
      </c>
      <c r="B6" s="3" t="s">
        <v>14</v>
      </c>
      <c r="C6" s="3" t="str">
        <f>IFERROR(VLOOKUP(B6, Baseline_Schedule!A:B, 2, FALSE),"")</f>
        <v>Site survey &amp; setting out</v>
      </c>
      <c r="D6" s="3">
        <f>IFERROR(IF(AND(A6&gt;=VLOOKUP(B6,Baseline_Schedule!A:F,5,FALSE),A6&lt;=VLOOKUP(B6,Baseline_Schedule!A:F,6,FALSE)),ROUND((A6-VLOOKUP(B6,Baseline_Schedule!A:F,5,FALSE)+1)/VLOOKUP(B6,Baseline_Schedule!A:C,3,FALSE)*100,0),IF(A6&lt;VLOOKUP(B6,Baseline_Schedule!A:F,5,FALSE),0,100)),"")</f>
        <v>100</v>
      </c>
      <c r="E6" s="3">
        <v>100</v>
      </c>
      <c r="F6" s="3" cm="1">
        <f t="array" ref="F6">IF(E6="","", E6 - IFERROR( LOOKUP(2, 1/($B$1:B5=$B6), $E$1:E5 ), 0 ) )</f>
        <v>50</v>
      </c>
      <c r="G6" s="3">
        <f t="shared" si="0"/>
        <v>0</v>
      </c>
    </row>
    <row r="7" spans="1:7">
      <c r="A7" s="6">
        <v>45977</v>
      </c>
      <c r="B7" s="3" t="s">
        <v>16</v>
      </c>
      <c r="C7" s="3" t="str">
        <f>IFERROR(VLOOKUP(B7, Baseline_Schedule!A:B, 2, FALSE),"")</f>
        <v>Excavation</v>
      </c>
      <c r="D7" s="3">
        <f>IFERROR(IF(AND(A7&gt;=VLOOKUP(B7,Baseline_Schedule!A:F,5,FALSE),A7&lt;=VLOOKUP(B7,Baseline_Schedule!A:F,6,FALSE)),ROUND((A7-VLOOKUP(B7,Baseline_Schedule!A:F,5,FALSE)+1)/VLOOKUP(B7,Baseline_Schedule!A:C,3,FALSE)*100,0),IF(A7&lt;VLOOKUP(B7,Baseline_Schedule!A:F,5,FALSE),0,100)),"")</f>
        <v>0</v>
      </c>
      <c r="E7" s="3">
        <v>0</v>
      </c>
      <c r="F7" s="3" cm="1">
        <f t="array" ref="F7">IF(E7="","", E7 - IFERROR( LOOKUP(2, 1/($B$1:B6=$B7), $E$1:E6 ), 0 ) )</f>
        <v>0</v>
      </c>
      <c r="G7" s="3">
        <f t="shared" si="0"/>
        <v>0</v>
      </c>
    </row>
    <row r="8" spans="1:7">
      <c r="A8" s="6">
        <v>45978</v>
      </c>
      <c r="B8" s="3" t="s">
        <v>16</v>
      </c>
      <c r="C8" s="3" t="str">
        <f>IFERROR(VLOOKUP(B8, Baseline_Schedule!A:B, 2, FALSE),"")</f>
        <v>Excavation</v>
      </c>
      <c r="D8" s="3">
        <f>IFERROR(IF(AND(A8&gt;=VLOOKUP(B8,Baseline_Schedule!A:F,5,FALSE),A8&lt;=VLOOKUP(B8,Baseline_Schedule!A:F,6,FALSE)),ROUND((A8-VLOOKUP(B8,Baseline_Schedule!A:F,5,FALSE)+1)/VLOOKUP(B8,Baseline_Schedule!A:C,3,FALSE)*100,0),IF(A8&lt;VLOOKUP(B8,Baseline_Schedule!A:F,5,FALSE),0,100)),"")</f>
        <v>14</v>
      </c>
      <c r="E8" s="3">
        <v>10</v>
      </c>
      <c r="F8" s="3" cm="1">
        <f t="array" ref="F8">IF(E8="","", E8 - IFERROR( LOOKUP(2, 1/($B$1:B7=$B8), $E$1:E7 ), 0 ) )</f>
        <v>10</v>
      </c>
      <c r="G8" s="3">
        <f t="shared" si="0"/>
        <v>-4</v>
      </c>
    </row>
    <row r="9" spans="1:7">
      <c r="A9" s="6">
        <v>45979</v>
      </c>
      <c r="B9" s="3" t="s">
        <v>16</v>
      </c>
      <c r="C9" s="3" t="str">
        <f>IFERROR(VLOOKUP(B9, Baseline_Schedule!A:B, 2, FALSE),"")</f>
        <v>Excavation</v>
      </c>
      <c r="D9" s="3">
        <f>IFERROR(IF(AND(A9&gt;=VLOOKUP(B9,Baseline_Schedule!A:F,5,FALSE),A9&lt;=VLOOKUP(B9,Baseline_Schedule!A:F,6,FALSE)),ROUND((A9-VLOOKUP(B9,Baseline_Schedule!A:F,5,FALSE)+1)/VLOOKUP(B9,Baseline_Schedule!A:C,3,FALSE)*100,0),IF(A9&lt;VLOOKUP(B9,Baseline_Schedule!A:F,5,FALSE),0,100)),"")</f>
        <v>29</v>
      </c>
      <c r="E9" s="3">
        <v>30</v>
      </c>
      <c r="F9" s="3" cm="1">
        <f t="array" ref="F9">IF(E9="","", E9 - IFERROR( LOOKUP(2, 1/($B$1:B8=$B9), $E$1:E8 ), 0 ) )</f>
        <v>20</v>
      </c>
      <c r="G9" s="3">
        <f t="shared" si="0"/>
        <v>1</v>
      </c>
    </row>
    <row r="10" spans="1:7">
      <c r="A10" s="6">
        <v>45980</v>
      </c>
      <c r="B10" s="3" t="s">
        <v>16</v>
      </c>
      <c r="C10" s="3" t="str">
        <f>IFERROR(VLOOKUP(B10, Baseline_Schedule!A:B, 2, FALSE),"")</f>
        <v>Excavation</v>
      </c>
      <c r="D10" s="3">
        <f>IFERROR(IF(AND(A10&gt;=VLOOKUP(B10,Baseline_Schedule!A:F,5,FALSE),A10&lt;=VLOOKUP(B10,Baseline_Schedule!A:F,6,FALSE)),ROUND((A10-VLOOKUP(B10,Baseline_Schedule!A:F,5,FALSE)+1)/VLOOKUP(B10,Baseline_Schedule!A:C,3,FALSE)*100,0),IF(A10&lt;VLOOKUP(B10,Baseline_Schedule!A:F,5,FALSE),0,100)),"")</f>
        <v>43</v>
      </c>
      <c r="E10" s="3">
        <v>40</v>
      </c>
      <c r="F10" s="3" cm="1">
        <f t="array" ref="F10">IF(E10="","", E10 - IFERROR( LOOKUP(2, 1/($B$1:B9=$B10), $E$1:E9 ), 0 ) )</f>
        <v>10</v>
      </c>
      <c r="G10" s="3">
        <f t="shared" si="0"/>
        <v>-3</v>
      </c>
    </row>
    <row r="11" spans="1:7">
      <c r="A11" s="6">
        <v>45981</v>
      </c>
      <c r="B11" s="3" t="s">
        <v>16</v>
      </c>
      <c r="C11" s="3" t="str">
        <f>IFERROR(VLOOKUP(B11, Baseline_Schedule!A:B, 2, FALSE),"")</f>
        <v>Excavation</v>
      </c>
      <c r="D11" s="3">
        <f>IFERROR(IF(AND(A11&gt;=VLOOKUP(B11,Baseline_Schedule!A:F,5,FALSE),A11&lt;=VLOOKUP(B11,Baseline_Schedule!A:F,6,FALSE)),ROUND((A11-VLOOKUP(B11,Baseline_Schedule!A:F,5,FALSE)+1)/VLOOKUP(B11,Baseline_Schedule!A:C,3,FALSE)*100,0),IF(A11&lt;VLOOKUP(B11,Baseline_Schedule!A:F,5,FALSE),0,100)),"")</f>
        <v>57</v>
      </c>
      <c r="E11" s="3">
        <v>50</v>
      </c>
      <c r="F11" s="3" cm="1">
        <f t="array" ref="F11">IF(E11="","", E11 - IFERROR( LOOKUP(2, 1/($B$1:B10=$B11), $E$1:E10 ), 0 ) )</f>
        <v>10</v>
      </c>
      <c r="G11" s="3">
        <f t="shared" si="0"/>
        <v>-7</v>
      </c>
    </row>
    <row r="12" spans="1:7">
      <c r="A12" s="6">
        <v>45982</v>
      </c>
      <c r="B12" s="3" t="s">
        <v>16</v>
      </c>
      <c r="C12" s="3" t="str">
        <f>IFERROR(VLOOKUP(B12, Baseline_Schedule!A:B, 2, FALSE),"")</f>
        <v>Excavation</v>
      </c>
      <c r="D12" s="3">
        <f>IFERROR(IF(AND(A12&gt;=VLOOKUP(B12,Baseline_Schedule!A:F,5,FALSE),A12&lt;=VLOOKUP(B12,Baseline_Schedule!A:F,6,FALSE)),ROUND((A12-VLOOKUP(B12,Baseline_Schedule!A:F,5,FALSE)+1)/VLOOKUP(B12,Baseline_Schedule!A:C,3,FALSE)*100,0),IF(A12&lt;VLOOKUP(B12,Baseline_Schedule!A:F,5,FALSE),0,100)),"")</f>
        <v>71</v>
      </c>
      <c r="E12" s="3">
        <v>75</v>
      </c>
      <c r="F12" s="3" cm="1">
        <f t="array" ref="F12">IF(E12="","", E12 - IFERROR( LOOKUP(2, 1/($B$1:B11=$B12), $E$1:E11 ), 0 ) )</f>
        <v>25</v>
      </c>
      <c r="G12" s="3">
        <f t="shared" si="0"/>
        <v>4</v>
      </c>
    </row>
    <row r="13" spans="1:7">
      <c r="A13" s="6">
        <v>45983</v>
      </c>
      <c r="B13" s="3" t="s">
        <v>16</v>
      </c>
      <c r="C13" s="3" t="str">
        <f>IFERROR(VLOOKUP(B13, Baseline_Schedule!A:B, 2, FALSE),"")</f>
        <v>Excavation</v>
      </c>
      <c r="D13" s="3">
        <f>IFERROR(IF(AND(A13&gt;=VLOOKUP(B13,Baseline_Schedule!A:F,5,FALSE),A13&lt;=VLOOKUP(B13,Baseline_Schedule!A:F,6,FALSE)),ROUND((A13-VLOOKUP(B13,Baseline_Schedule!A:F,5,FALSE)+1)/VLOOKUP(B13,Baseline_Schedule!A:C,3,FALSE)*100,0),IF(A13&lt;VLOOKUP(B13,Baseline_Schedule!A:F,5,FALSE),0,100)),"")</f>
        <v>86</v>
      </c>
      <c r="E13" s="3">
        <v>80</v>
      </c>
      <c r="F13" s="3" cm="1">
        <f t="array" ref="F13">IF(E13="","", E13 - IFERROR( LOOKUP(2, 1/($B$1:B12=$B13), $E$1:E12 ), 0 ) )</f>
        <v>5</v>
      </c>
      <c r="G13" s="3">
        <f t="shared" si="0"/>
        <v>-6</v>
      </c>
    </row>
    <row r="14" spans="1:7">
      <c r="A14" s="6">
        <v>45984</v>
      </c>
      <c r="B14" s="3" t="s">
        <v>16</v>
      </c>
      <c r="C14" s="3" t="str">
        <f>IFERROR(VLOOKUP(B14, Baseline_Schedule!A:B, 2, FALSE),"")</f>
        <v>Excavation</v>
      </c>
      <c r="D14" s="3">
        <f>IFERROR(IF(AND(A14&gt;=VLOOKUP(B14,Baseline_Schedule!A:F,5,FALSE),A14&lt;=VLOOKUP(B14,Baseline_Schedule!A:F,6,FALSE)),ROUND((A14-VLOOKUP(B14,Baseline_Schedule!A:F,5,FALSE)+1)/VLOOKUP(B14,Baseline_Schedule!A:C,3,FALSE)*100,0),IF(A14&lt;VLOOKUP(B14,Baseline_Schedule!A:F,5,FALSE),0,100)),"")</f>
        <v>100</v>
      </c>
      <c r="E14" s="3">
        <v>100</v>
      </c>
      <c r="F14" s="3" cm="1">
        <f t="array" ref="F14">IF(E14="","", E14 - IFERROR( LOOKUP(2, 1/($B$1:B13=$B14), $E$1:E13 ), 0 ) )</f>
        <v>20</v>
      </c>
      <c r="G14" s="3">
        <f t="shared" si="0"/>
        <v>0</v>
      </c>
    </row>
    <row r="15" spans="1:7">
      <c r="C15" s="3" t="str">
        <f>IFERROR(VLOOKUP(B15, Baseline_Schedule!A:B, 2, FALSE),"")</f>
        <v/>
      </c>
      <c r="D15" t="str">
        <f>IFERROR(IF(AND(A15&gt;=VLOOKUP(B15,Baseline_Schedule!A:F,5,FALSE),A15&lt;=VLOOKUP(B15,Baseline_Schedule!A:F,6,FALSE)),ROUND((A15-VLOOKUP(B15,Baseline_Schedule!A:F,5,FALSE)+1)/VLOOKUP(B15,Baseline_Schedule!A:C,3,FALSE)*100,0),IF(A15&lt;VLOOKUP(B15,Baseline_Schedule!A:F,5,FALSE),0,100)),"")</f>
        <v/>
      </c>
    </row>
    <row r="16" spans="1:7">
      <c r="C16" s="3" t="str">
        <f>IFERROR(VLOOKUP(B16, Baseline_Schedule!A:B, 2, FALSE),"")</f>
        <v/>
      </c>
      <c r="D16" t="str">
        <f>IFERROR(IF(AND(A16&gt;=VLOOKUP(B16,Baseline_Schedule!A:F,5,FALSE),A16&lt;=VLOOKUP(B16,Baseline_Schedule!A:F,6,FALSE)),ROUND((A16-VLOOKUP(B16,Baseline_Schedule!A:F,5,FALSE)+1)/VLOOKUP(B16,Baseline_Schedule!A:C,3,FALSE)*100,0),IF(A16&lt;VLOOKUP(B16,Baseline_Schedule!A:F,5,FALSE),0,100)),"")</f>
        <v/>
      </c>
    </row>
    <row r="17" spans="3:4">
      <c r="C17" s="3" t="str">
        <f>IFERROR(VLOOKUP(B17, Baseline_Schedule!A:B, 2, FALSE),"")</f>
        <v/>
      </c>
      <c r="D17" t="str">
        <f>IFERROR(IF(AND(A17&gt;=VLOOKUP(B17,Baseline_Schedule!A:F,5,FALSE),A17&lt;=VLOOKUP(B17,Baseline_Schedule!A:F,6,FALSE)),ROUND((A17-VLOOKUP(B17,Baseline_Schedule!A:F,5,FALSE)+1)/VLOOKUP(B17,Baseline_Schedule!A:C,3,FALSE)*100,0),IF(A17&lt;VLOOKUP(B17,Baseline_Schedule!A:F,5,FALSE),0,100)),"")</f>
        <v/>
      </c>
    </row>
    <row r="18" spans="3:4" ht="43.5">
      <c r="C18" s="22" t="s">
        <v>61</v>
      </c>
      <c r="D18" t="str">
        <f>IFERROR(IF(AND(A18&gt;=VLOOKUP(B18,Baseline_Schedule!A:F,5,FALSE),A18&lt;=VLOOKUP(B18,Baseline_Schedule!A:F,6,FALSE)),ROUND((A18-VLOOKUP(B18,Baseline_Schedule!A:F,5,FALSE)+1)/VLOOKUP(B18,Baseline_Schedule!A:C,3,FALSE)*100,0),IF(A18&lt;VLOOKUP(B18,Baseline_Schedule!A:F,5,FALSE),0,100)),"")</f>
        <v/>
      </c>
    </row>
    <row r="19" spans="3:4">
      <c r="C19" s="3" t="str">
        <f>IFERROR(VLOOKUP(B19, Baseline_Schedule!A:B, 2, FALSE),"")</f>
        <v/>
      </c>
      <c r="D19" t="str">
        <f>IFERROR(IF(AND(A19&gt;=VLOOKUP(B19,Baseline_Schedule!A:F,5,FALSE),A19&lt;=VLOOKUP(B19,Baseline_Schedule!A:F,6,FALSE)),ROUND((A19-VLOOKUP(B19,Baseline_Schedule!A:F,5,FALSE)+1)/VLOOKUP(B19,Baseline_Schedule!A:C,3,FALSE)*100,0),IF(A19&lt;VLOOKUP(B19,Baseline_Schedule!A:F,5,FALSE),0,100)),"")</f>
        <v/>
      </c>
    </row>
    <row r="20" spans="3:4">
      <c r="C20" s="3" t="str">
        <f>IFERROR(VLOOKUP(B20, Baseline_Schedule!A:B, 2, FALSE),"")</f>
        <v/>
      </c>
      <c r="D20" t="str">
        <f>IFERROR(IF(AND(A20&gt;=VLOOKUP(B20,Baseline_Schedule!A:F,5,FALSE),A20&lt;=VLOOKUP(B20,Baseline_Schedule!A:F,6,FALSE)),ROUND((A20-VLOOKUP(B20,Baseline_Schedule!A:F,5,FALSE)+1)/VLOOKUP(B20,Baseline_Schedule!A:C,3,FALSE)*100,0),IF(A20&lt;VLOOKUP(B20,Baseline_Schedule!A:F,5,FALSE),0,100)),"")</f>
        <v/>
      </c>
    </row>
    <row r="21" spans="3:4">
      <c r="C21" s="3" t="str">
        <f>IFERROR(VLOOKUP(B21, Baseline_Schedule!A:B, 2, FALSE),"")</f>
        <v/>
      </c>
      <c r="D21" t="str">
        <f>IFERROR(IF(AND(A21&gt;=VLOOKUP(B21,Baseline_Schedule!A:F,5,FALSE),A21&lt;=VLOOKUP(B21,Baseline_Schedule!A:F,6,FALSE)),ROUND((A21-VLOOKUP(B21,Baseline_Schedule!A:F,5,FALSE)+1)/VLOOKUP(B21,Baseline_Schedule!A:C,3,FALSE)*100,0),IF(A21&lt;VLOOKUP(B21,Baseline_Schedule!A:F,5,FALSE),0,100)),"")</f>
        <v/>
      </c>
    </row>
    <row r="22" spans="3:4">
      <c r="C22" s="3" t="str">
        <f>IFERROR(VLOOKUP(B22, Baseline_Schedule!A:B, 2, FALSE),"")</f>
        <v/>
      </c>
      <c r="D22" t="str">
        <f>IFERROR(IF(AND(A22&gt;=VLOOKUP(B22,Baseline_Schedule!A:F,5,FALSE),A22&lt;=VLOOKUP(B22,Baseline_Schedule!A:F,6,FALSE)),ROUND((A22-VLOOKUP(B22,Baseline_Schedule!A:F,5,FALSE)+1)/VLOOKUP(B22,Baseline_Schedule!A:C,3,FALSE)*100,0),IF(A22&lt;VLOOKUP(B22,Baseline_Schedule!A:F,5,FALSE),0,100)),"")</f>
        <v/>
      </c>
    </row>
    <row r="23" spans="3:4">
      <c r="C23" s="3" t="str">
        <f>IFERROR(VLOOKUP(B23, Baseline_Schedule!A:B, 2, FALSE),"")</f>
        <v/>
      </c>
      <c r="D23" t="str">
        <f>IFERROR(IF(AND(A23&gt;=VLOOKUP(B23,Baseline_Schedule!A:F,5,FALSE),A23&lt;=VLOOKUP(B23,Baseline_Schedule!A:F,6,FALSE)),ROUND((A23-VLOOKUP(B23,Baseline_Schedule!A:F,5,FALSE)+1)/VLOOKUP(B23,Baseline_Schedule!A:C,3,FALSE)*100,0),IF(A23&lt;VLOOKUP(B23,Baseline_Schedule!A:F,5,FALSE),0,100)),"")</f>
        <v/>
      </c>
    </row>
    <row r="24" spans="3:4">
      <c r="C24" s="3" t="str">
        <f>IFERROR(VLOOKUP(B24, Baseline_Schedule!A:B, 2, FALSE),"")</f>
        <v/>
      </c>
    </row>
    <row r="25" spans="3:4">
      <c r="C25" s="3" t="str">
        <f>IFERROR(VLOOKUP(B25, Baseline_Schedule!A:B, 2, FALSE),"")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EEDC7-5BFF-5748-ADEB-6C1211F8E533}">
  <dimension ref="A1:A84"/>
  <sheetViews>
    <sheetView topLeftCell="A43" workbookViewId="0">
      <selection activeCell="A33" sqref="A33"/>
    </sheetView>
  </sheetViews>
  <sheetFormatPr defaultColWidth="11.42578125" defaultRowHeight="15"/>
  <cols>
    <col min="1" max="1" width="71.140625" customWidth="1"/>
  </cols>
  <sheetData>
    <row r="1" spans="1:1" ht="24">
      <c r="A1" s="16" t="s">
        <v>62</v>
      </c>
    </row>
    <row r="2" spans="1:1" ht="17.100000000000001" customHeight="1">
      <c r="A2" t="s">
        <v>63</v>
      </c>
    </row>
    <row r="3" spans="1:1">
      <c r="A3" s="9" t="s">
        <v>64</v>
      </c>
    </row>
    <row r="4" spans="1:1">
      <c r="A4" s="9" t="s">
        <v>65</v>
      </c>
    </row>
    <row r="5" spans="1:1">
      <c r="A5" s="9" t="s">
        <v>66</v>
      </c>
    </row>
    <row r="7" spans="1:1" ht="24">
      <c r="A7" s="16" t="s">
        <v>67</v>
      </c>
    </row>
    <row r="8" spans="1:1">
      <c r="A8" s="3" t="s">
        <v>13</v>
      </c>
    </row>
    <row r="9" spans="1:1">
      <c r="A9" s="3" t="s">
        <v>15</v>
      </c>
    </row>
    <row r="10" spans="1:1">
      <c r="A10" s="3" t="s">
        <v>17</v>
      </c>
    </row>
    <row r="11" spans="1:1">
      <c r="A11" s="3" t="s">
        <v>19</v>
      </c>
    </row>
    <row r="12" spans="1:1">
      <c r="A12" s="3" t="s">
        <v>21</v>
      </c>
    </row>
    <row r="13" spans="1:1">
      <c r="A13" s="3" t="s">
        <v>23</v>
      </c>
    </row>
    <row r="14" spans="1:1">
      <c r="A14" s="3" t="s">
        <v>25</v>
      </c>
    </row>
    <row r="15" spans="1:1">
      <c r="A15" s="3" t="s">
        <v>27</v>
      </c>
    </row>
    <row r="16" spans="1:1">
      <c r="A16" s="3" t="s">
        <v>29</v>
      </c>
    </row>
    <row r="17" spans="1:1">
      <c r="A17" s="3" t="s">
        <v>31</v>
      </c>
    </row>
    <row r="18" spans="1:1">
      <c r="A18" s="3" t="s">
        <v>33</v>
      </c>
    </row>
    <row r="19" spans="1:1">
      <c r="A19" s="3" t="s">
        <v>35</v>
      </c>
    </row>
    <row r="21" spans="1:1" ht="24">
      <c r="A21" s="16" t="s">
        <v>68</v>
      </c>
    </row>
    <row r="22" spans="1:1">
      <c r="A22" t="s">
        <v>69</v>
      </c>
    </row>
    <row r="23" spans="1:1" ht="15.95">
      <c r="A23" s="17" t="s">
        <v>70</v>
      </c>
    </row>
    <row r="25" spans="1:1" ht="24">
      <c r="A25" s="16" t="s">
        <v>71</v>
      </c>
    </row>
    <row r="26" spans="1:1">
      <c r="A26" t="s">
        <v>69</v>
      </c>
    </row>
    <row r="28" spans="1:1" ht="15.95">
      <c r="A28" s="9" t="s">
        <v>72</v>
      </c>
    </row>
    <row r="30" spans="1:1" ht="15.95">
      <c r="A30" s="9" t="s">
        <v>73</v>
      </c>
    </row>
    <row r="32" spans="1:1">
      <c r="A32" s="19" t="s">
        <v>74</v>
      </c>
    </row>
    <row r="33" spans="1:1" ht="15.95">
      <c r="A33" s="17" t="s">
        <v>75</v>
      </c>
    </row>
    <row r="35" spans="1:1" ht="15.95">
      <c r="A35" s="9" t="s">
        <v>76</v>
      </c>
    </row>
    <row r="37" spans="1:1" ht="24">
      <c r="A37" s="16" t="s">
        <v>77</v>
      </c>
    </row>
    <row r="38" spans="1:1">
      <c r="A38" t="s">
        <v>78</v>
      </c>
    </row>
    <row r="40" spans="1:1">
      <c r="A40" t="s">
        <v>79</v>
      </c>
    </row>
    <row r="42" spans="1:1">
      <c r="A42" t="s">
        <v>80</v>
      </c>
    </row>
    <row r="44" spans="1:1">
      <c r="A44" t="s">
        <v>81</v>
      </c>
    </row>
    <row r="54" spans="1:1" ht="24">
      <c r="A54" s="16" t="s">
        <v>82</v>
      </c>
    </row>
    <row r="55" spans="1:1">
      <c r="A55" t="s">
        <v>83</v>
      </c>
    </row>
    <row r="57" spans="1:1">
      <c r="A57" t="s">
        <v>84</v>
      </c>
    </row>
    <row r="59" spans="1:1">
      <c r="A59" t="s">
        <v>85</v>
      </c>
    </row>
    <row r="61" spans="1:1" ht="24">
      <c r="A61" s="16" t="s">
        <v>86</v>
      </c>
    </row>
    <row r="63" spans="1:1">
      <c r="A63" t="s">
        <v>87</v>
      </c>
    </row>
    <row r="64" spans="1:1" ht="15.95">
      <c r="A64" s="17" t="s">
        <v>88</v>
      </c>
    </row>
    <row r="66" spans="1:1" ht="24">
      <c r="A66" s="16" t="s">
        <v>89</v>
      </c>
    </row>
    <row r="68" spans="1:1">
      <c r="A68" t="s">
        <v>90</v>
      </c>
    </row>
    <row r="70" spans="1:1">
      <c r="A70" t="s">
        <v>91</v>
      </c>
    </row>
    <row r="72" spans="1:1">
      <c r="A72" t="s">
        <v>92</v>
      </c>
    </row>
    <row r="74" spans="1:1" ht="24">
      <c r="A74" s="18" t="s">
        <v>93</v>
      </c>
    </row>
    <row r="76" spans="1:1">
      <c r="A76" t="s">
        <v>94</v>
      </c>
    </row>
    <row r="78" spans="1:1">
      <c r="A78" s="9" t="s">
        <v>95</v>
      </c>
    </row>
    <row r="80" spans="1:1">
      <c r="A80" s="9" t="s">
        <v>96</v>
      </c>
    </row>
    <row r="82" spans="1:1">
      <c r="A82" s="9" t="s">
        <v>97</v>
      </c>
    </row>
    <row r="84" spans="1:1">
      <c r="A84" s="9" t="s">
        <v>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2E733-D716-4AA4-AD94-E6E7C0597EB3}">
  <dimension ref="A2:B4"/>
  <sheetViews>
    <sheetView workbookViewId="0">
      <selection activeCell="A5" sqref="A5"/>
    </sheetView>
  </sheetViews>
  <sheetFormatPr defaultRowHeight="15"/>
  <cols>
    <col min="1" max="1" width="16.5703125" bestFit="1" customWidth="1"/>
  </cols>
  <sheetData>
    <row r="2" spans="1:2">
      <c r="A2" t="s">
        <v>99</v>
      </c>
      <c r="B2">
        <v>221031</v>
      </c>
    </row>
    <row r="3" spans="1:2">
      <c r="A3" t="s">
        <v>100</v>
      </c>
    </row>
    <row r="4" spans="1:2">
      <c r="A4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2025-10-09T11:50:41Z</dcterms:created>
  <dcterms:modified xsi:type="dcterms:W3CDTF">2025-10-09T18:23:14Z</dcterms:modified>
  <cp:category/>
  <cp:contentStatus/>
</cp:coreProperties>
</file>